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defaultThemeVersion="166925"/>
  <mc:AlternateContent xmlns:mc="http://schemas.openxmlformats.org/markup-compatibility/2006">
    <mc:Choice Requires="x15">
      <x15ac:absPath xmlns:x15ac="http://schemas.microsoft.com/office/spreadsheetml/2010/11/ac" url="\\psf\Home\Desktop\"/>
    </mc:Choice>
  </mc:AlternateContent>
  <xr:revisionPtr revIDLastSave="0" documentId="10_ncr:8100000_{E568CA1B-78EC-4CBC-8E23-C1650C69309E}" xr6:coauthVersionLast="33" xr6:coauthVersionMax="33" xr10:uidLastSave="{00000000-0000-0000-0000-000000000000}"/>
  <bookViews>
    <workbookView xWindow="0" yWindow="1035" windowWidth="28800" windowHeight="13620" xr2:uid="{E64609F7-4B82-4B04-8DF6-48F9047F920E}"/>
  </bookViews>
  <sheets>
    <sheet name="Combined" sheetId="9" r:id="rId1"/>
    <sheet name="All" sheetId="6" r:id="rId2"/>
    <sheet name="TVDB" sheetId="1" r:id="rId3"/>
    <sheet name="TVMaze unedited" sheetId="2" state="hidden" r:id="rId4"/>
    <sheet name="TVMaze" sheetId="3" r:id="rId5"/>
    <sheet name="TVMaze python scrape" sheetId="10" r:id="rId6"/>
    <sheet name="Files" sheetId="8"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9" i="9" l="1"/>
  <c r="M20" i="9"/>
  <c r="M21" i="9"/>
  <c r="M22" i="9"/>
  <c r="M23" i="9"/>
  <c r="M24" i="9"/>
  <c r="M26" i="9"/>
  <c r="M27" i="9"/>
  <c r="M36" i="9"/>
  <c r="M37" i="9"/>
  <c r="M39" i="9"/>
  <c r="M42" i="9"/>
  <c r="M43" i="9"/>
  <c r="M44" i="9"/>
  <c r="M45" i="9"/>
  <c r="M46" i="9"/>
  <c r="M47" i="9"/>
  <c r="M48" i="9"/>
  <c r="M49" i="9"/>
  <c r="M50" i="9"/>
  <c r="M51" i="9"/>
  <c r="M52" i="9"/>
  <c r="M53" i="9"/>
  <c r="M54" i="9"/>
  <c r="M55" i="9"/>
  <c r="M56" i="9"/>
  <c r="M57" i="9"/>
  <c r="M58" i="9"/>
  <c r="M65" i="9"/>
  <c r="M66" i="9"/>
  <c r="M71" i="9"/>
  <c r="M72" i="9"/>
  <c r="M73" i="9"/>
  <c r="M74" i="9"/>
  <c r="M75" i="9"/>
  <c r="M76" i="9"/>
  <c r="M78" i="9"/>
  <c r="M86" i="9"/>
  <c r="M87" i="9"/>
  <c r="M88" i="9"/>
  <c r="M89" i="9"/>
  <c r="M90" i="9"/>
  <c r="M98" i="9"/>
  <c r="M99" i="9"/>
  <c r="M100" i="9"/>
  <c r="M101" i="9"/>
  <c r="M102" i="9"/>
  <c r="M103" i="9"/>
  <c r="M112" i="9"/>
  <c r="M113" i="9"/>
  <c r="M114" i="9"/>
  <c r="M116" i="9"/>
  <c r="M117" i="9"/>
  <c r="M125" i="9"/>
  <c r="M126" i="9"/>
  <c r="M127" i="9"/>
  <c r="M128" i="9"/>
  <c r="M129" i="9"/>
  <c r="M138" i="9"/>
  <c r="M139" i="9"/>
  <c r="M140" i="9"/>
  <c r="M141" i="9"/>
  <c r="M152" i="9"/>
  <c r="L19" i="9"/>
  <c r="L20" i="9"/>
  <c r="L21" i="9"/>
  <c r="L22" i="9"/>
  <c r="L23" i="9"/>
  <c r="L24" i="9"/>
  <c r="L26" i="9"/>
  <c r="L27" i="9"/>
  <c r="L36" i="9"/>
  <c r="L37" i="9"/>
  <c r="L39" i="9"/>
  <c r="L42" i="9"/>
  <c r="L125" i="9"/>
  <c r="L126" i="9"/>
  <c r="L127" i="9"/>
  <c r="L128" i="9"/>
  <c r="L129" i="9"/>
  <c r="I3" i="9"/>
  <c r="J3" i="9" s="1"/>
  <c r="I4" i="9"/>
  <c r="J4" i="9" s="1"/>
  <c r="I5" i="9"/>
  <c r="J5" i="9" s="1"/>
  <c r="I6" i="9"/>
  <c r="J6" i="9" s="1"/>
  <c r="I7" i="9"/>
  <c r="J7" i="9" s="1"/>
  <c r="I8" i="9"/>
  <c r="J8" i="9" s="1"/>
  <c r="I9" i="9"/>
  <c r="J9" i="9" s="1"/>
  <c r="I10" i="9"/>
  <c r="J10" i="9" s="1"/>
  <c r="I11" i="9"/>
  <c r="J11" i="9" s="1"/>
  <c r="I12" i="9"/>
  <c r="J12" i="9" s="1"/>
  <c r="I13" i="9"/>
  <c r="J13" i="9" s="1"/>
  <c r="I14" i="9"/>
  <c r="J14" i="9" s="1"/>
  <c r="I15" i="9"/>
  <c r="J15" i="9" s="1"/>
  <c r="I16" i="9"/>
  <c r="J16" i="9" s="1"/>
  <c r="I17" i="9"/>
  <c r="J17" i="9" s="1"/>
  <c r="I18" i="9"/>
  <c r="J18" i="9" s="1"/>
  <c r="I19" i="9"/>
  <c r="J19" i="9" s="1"/>
  <c r="I20" i="9"/>
  <c r="J20" i="9" s="1"/>
  <c r="I21" i="9"/>
  <c r="J21" i="9" s="1"/>
  <c r="I22" i="9"/>
  <c r="J22" i="9" s="1"/>
  <c r="I23" i="9"/>
  <c r="J23" i="9" s="1"/>
  <c r="I24" i="9"/>
  <c r="J24" i="9" s="1"/>
  <c r="I25" i="9"/>
  <c r="J25" i="9" s="1"/>
  <c r="I26" i="9"/>
  <c r="J26" i="9" s="1"/>
  <c r="I27" i="9"/>
  <c r="J27" i="9" s="1"/>
  <c r="I28" i="9"/>
  <c r="J28" i="9" s="1"/>
  <c r="I29" i="9"/>
  <c r="J29" i="9" s="1"/>
  <c r="I30" i="9"/>
  <c r="J30" i="9" s="1"/>
  <c r="I31" i="9"/>
  <c r="J31" i="9" s="1"/>
  <c r="I32" i="9"/>
  <c r="J32" i="9" s="1"/>
  <c r="I33" i="9"/>
  <c r="J33" i="9" s="1"/>
  <c r="I34" i="9"/>
  <c r="J34" i="9" s="1"/>
  <c r="I35" i="9"/>
  <c r="J35" i="9" s="1"/>
  <c r="I36" i="9"/>
  <c r="J36" i="9" s="1"/>
  <c r="I37" i="9"/>
  <c r="J37" i="9" s="1"/>
  <c r="I38" i="9"/>
  <c r="J38" i="9" s="1"/>
  <c r="I39" i="9"/>
  <c r="J39" i="9" s="1"/>
  <c r="I40" i="9"/>
  <c r="J40" i="9" s="1"/>
  <c r="I41" i="9"/>
  <c r="J41" i="9" s="1"/>
  <c r="I42" i="9"/>
  <c r="J42" i="9" s="1"/>
  <c r="I43" i="9"/>
  <c r="J43" i="9" s="1"/>
  <c r="I44" i="9"/>
  <c r="J44" i="9" s="1"/>
  <c r="I45" i="9"/>
  <c r="J45" i="9" s="1"/>
  <c r="I46" i="9"/>
  <c r="J46" i="9" s="1"/>
  <c r="I47" i="9"/>
  <c r="J47" i="9" s="1"/>
  <c r="I48" i="9"/>
  <c r="J48" i="9" s="1"/>
  <c r="I49" i="9"/>
  <c r="J49" i="9" s="1"/>
  <c r="I50" i="9"/>
  <c r="J50" i="9" s="1"/>
  <c r="I51" i="9"/>
  <c r="J51" i="9" s="1"/>
  <c r="I52" i="9"/>
  <c r="J52" i="9" s="1"/>
  <c r="I53" i="9"/>
  <c r="J53" i="9" s="1"/>
  <c r="I54" i="9"/>
  <c r="J54" i="9" s="1"/>
  <c r="I55" i="9"/>
  <c r="J55" i="9" s="1"/>
  <c r="I56" i="9"/>
  <c r="J56" i="9" s="1"/>
  <c r="I57" i="9"/>
  <c r="J57" i="9" s="1"/>
  <c r="I58" i="9"/>
  <c r="J58" i="9" s="1"/>
  <c r="I59" i="9"/>
  <c r="J59" i="9" s="1"/>
  <c r="I60" i="9"/>
  <c r="J60" i="9" s="1"/>
  <c r="I61" i="9"/>
  <c r="J61" i="9" s="1"/>
  <c r="I62" i="9"/>
  <c r="J62" i="9" s="1"/>
  <c r="I63" i="9"/>
  <c r="J63" i="9" s="1"/>
  <c r="I64" i="9"/>
  <c r="J64" i="9" s="1"/>
  <c r="I65" i="9"/>
  <c r="J65" i="9" s="1"/>
  <c r="I66" i="9"/>
  <c r="J66" i="9" s="1"/>
  <c r="I67" i="9"/>
  <c r="J67" i="9" s="1"/>
  <c r="I68" i="9"/>
  <c r="J68" i="9" s="1"/>
  <c r="I69" i="9"/>
  <c r="J69" i="9" s="1"/>
  <c r="I70" i="9"/>
  <c r="J70" i="9" s="1"/>
  <c r="I71" i="9"/>
  <c r="J71" i="9" s="1"/>
  <c r="I72" i="9"/>
  <c r="J72" i="9" s="1"/>
  <c r="I73" i="9"/>
  <c r="J73" i="9" s="1"/>
  <c r="I74" i="9"/>
  <c r="J74" i="9" s="1"/>
  <c r="I75" i="9"/>
  <c r="J75" i="9" s="1"/>
  <c r="I76" i="9"/>
  <c r="J76" i="9" s="1"/>
  <c r="I77" i="9"/>
  <c r="J77" i="9" s="1"/>
  <c r="I78" i="9"/>
  <c r="J78" i="9" s="1"/>
  <c r="I79" i="9"/>
  <c r="J79" i="9" s="1"/>
  <c r="I80" i="9"/>
  <c r="J80" i="9" s="1"/>
  <c r="I81" i="9"/>
  <c r="J81" i="9" s="1"/>
  <c r="I82" i="9"/>
  <c r="J82" i="9" s="1"/>
  <c r="I83" i="9"/>
  <c r="J83" i="9" s="1"/>
  <c r="I84" i="9"/>
  <c r="J84" i="9" s="1"/>
  <c r="I85" i="9"/>
  <c r="J85" i="9" s="1"/>
  <c r="I86" i="9"/>
  <c r="J86" i="9" s="1"/>
  <c r="I87" i="9"/>
  <c r="J87" i="9" s="1"/>
  <c r="I88" i="9"/>
  <c r="J88" i="9" s="1"/>
  <c r="I89" i="9"/>
  <c r="J89" i="9" s="1"/>
  <c r="I90" i="9"/>
  <c r="J90" i="9" s="1"/>
  <c r="I91" i="9"/>
  <c r="J91" i="9" s="1"/>
  <c r="I92" i="9"/>
  <c r="J92" i="9" s="1"/>
  <c r="I93" i="9"/>
  <c r="J93" i="9" s="1"/>
  <c r="I94" i="9"/>
  <c r="J94" i="9" s="1"/>
  <c r="I95" i="9"/>
  <c r="J95" i="9" s="1"/>
  <c r="I96" i="9"/>
  <c r="J96" i="9" s="1"/>
  <c r="I97" i="9"/>
  <c r="J97" i="9" s="1"/>
  <c r="I98" i="9"/>
  <c r="J98" i="9" s="1"/>
  <c r="I99" i="9"/>
  <c r="J99" i="9" s="1"/>
  <c r="I100" i="9"/>
  <c r="J100" i="9" s="1"/>
  <c r="I101" i="9"/>
  <c r="J101" i="9" s="1"/>
  <c r="I102" i="9"/>
  <c r="J102" i="9" s="1"/>
  <c r="I103" i="9"/>
  <c r="J103" i="9" s="1"/>
  <c r="I104" i="9"/>
  <c r="J104" i="9" s="1"/>
  <c r="I105" i="9"/>
  <c r="J105" i="9" s="1"/>
  <c r="I106" i="9"/>
  <c r="J106" i="9" s="1"/>
  <c r="I107" i="9"/>
  <c r="J107" i="9" s="1"/>
  <c r="I108" i="9"/>
  <c r="J108" i="9" s="1"/>
  <c r="I109" i="9"/>
  <c r="J109" i="9" s="1"/>
  <c r="I110" i="9"/>
  <c r="J110" i="9" s="1"/>
  <c r="I111" i="9"/>
  <c r="J111" i="9" s="1"/>
  <c r="I112" i="9"/>
  <c r="J112" i="9" s="1"/>
  <c r="I113" i="9"/>
  <c r="J113" i="9" s="1"/>
  <c r="I114" i="9"/>
  <c r="J114" i="9" s="1"/>
  <c r="I115" i="9"/>
  <c r="J115" i="9" s="1"/>
  <c r="I116" i="9"/>
  <c r="J116" i="9" s="1"/>
  <c r="I117" i="9"/>
  <c r="J117" i="9" s="1"/>
  <c r="I118" i="9"/>
  <c r="J118" i="9" s="1"/>
  <c r="I119" i="9"/>
  <c r="J119" i="9" s="1"/>
  <c r="I120" i="9"/>
  <c r="J120" i="9" s="1"/>
  <c r="I121" i="9"/>
  <c r="J121" i="9" s="1"/>
  <c r="I122" i="9"/>
  <c r="J122" i="9" s="1"/>
  <c r="I123" i="9"/>
  <c r="J123" i="9" s="1"/>
  <c r="I124" i="9"/>
  <c r="J124" i="9" s="1"/>
  <c r="I125" i="9"/>
  <c r="J125" i="9" s="1"/>
  <c r="I126" i="9"/>
  <c r="J126" i="9" s="1"/>
  <c r="I127" i="9"/>
  <c r="J127" i="9" s="1"/>
  <c r="I128" i="9"/>
  <c r="J128" i="9" s="1"/>
  <c r="I129" i="9"/>
  <c r="J129" i="9" s="1"/>
  <c r="I130" i="9"/>
  <c r="J130" i="9" s="1"/>
  <c r="I131" i="9"/>
  <c r="J131" i="9" s="1"/>
  <c r="I132" i="9"/>
  <c r="J132" i="9" s="1"/>
  <c r="I133" i="9"/>
  <c r="J133" i="9" s="1"/>
  <c r="I134" i="9"/>
  <c r="J134" i="9" s="1"/>
  <c r="I135" i="9"/>
  <c r="J135" i="9" s="1"/>
  <c r="I136" i="9"/>
  <c r="J136" i="9" s="1"/>
  <c r="I137" i="9"/>
  <c r="J137" i="9" s="1"/>
  <c r="I138" i="9"/>
  <c r="J138" i="9" s="1"/>
  <c r="I139" i="9"/>
  <c r="J139" i="9" s="1"/>
  <c r="I140" i="9"/>
  <c r="J140" i="9" s="1"/>
  <c r="I141" i="9"/>
  <c r="J141" i="9" s="1"/>
  <c r="I142" i="9"/>
  <c r="J142" i="9" s="1"/>
  <c r="I143" i="9"/>
  <c r="J143" i="9" s="1"/>
  <c r="I144" i="9"/>
  <c r="J144" i="9" s="1"/>
  <c r="I145" i="9"/>
  <c r="J145" i="9" s="1"/>
  <c r="I146" i="9"/>
  <c r="J146" i="9" s="1"/>
  <c r="I147" i="9"/>
  <c r="J147" i="9" s="1"/>
  <c r="I148" i="9"/>
  <c r="J148" i="9" s="1"/>
  <c r="I149" i="9"/>
  <c r="J149" i="9" s="1"/>
  <c r="I150" i="9"/>
  <c r="J150" i="9" s="1"/>
  <c r="I151" i="9"/>
  <c r="J151" i="9" s="1"/>
  <c r="I152" i="9"/>
  <c r="J152" i="9" s="1"/>
  <c r="I153" i="9"/>
  <c r="J153" i="9" s="1"/>
  <c r="I154" i="9"/>
  <c r="J154" i="9" s="1"/>
  <c r="I155" i="9"/>
  <c r="J155" i="9" s="1"/>
  <c r="I156" i="9"/>
  <c r="J156" i="9" s="1"/>
  <c r="I157" i="9"/>
  <c r="J157" i="9" s="1"/>
  <c r="I158" i="9"/>
  <c r="J158" i="9" s="1"/>
  <c r="I159" i="9"/>
  <c r="J159" i="9" s="1"/>
  <c r="I160" i="9"/>
  <c r="J160" i="9" s="1"/>
  <c r="I161" i="9"/>
  <c r="J161" i="9" s="1"/>
  <c r="I162" i="9"/>
  <c r="J162" i="9" s="1"/>
  <c r="I163" i="9"/>
  <c r="J163" i="9" s="1"/>
  <c r="I164" i="9"/>
  <c r="J164" i="9" s="1"/>
  <c r="I165" i="9"/>
  <c r="J165" i="9" s="1"/>
  <c r="I166" i="9"/>
  <c r="J166" i="9" s="1"/>
  <c r="I167" i="9"/>
  <c r="J167" i="9" s="1"/>
  <c r="I168" i="9"/>
  <c r="J168" i="9" s="1"/>
  <c r="I169" i="9"/>
  <c r="J169" i="9" s="1"/>
  <c r="I170" i="9"/>
  <c r="J170" i="9" s="1"/>
  <c r="I171" i="9"/>
  <c r="J171" i="9" s="1"/>
  <c r="I172" i="9"/>
  <c r="J172" i="9" s="1"/>
  <c r="I173" i="9"/>
  <c r="J173" i="9" s="1"/>
  <c r="I174" i="9"/>
  <c r="J174" i="9" s="1"/>
  <c r="I175" i="9"/>
  <c r="J175" i="9" s="1"/>
  <c r="I176" i="9"/>
  <c r="J176" i="9" s="1"/>
  <c r="I177" i="9"/>
  <c r="J177" i="9" s="1"/>
  <c r="I178" i="9"/>
  <c r="J178" i="9" s="1"/>
  <c r="I179" i="9"/>
  <c r="J179" i="9" s="1"/>
  <c r="I180" i="9"/>
  <c r="J180" i="9" s="1"/>
  <c r="I181" i="9"/>
  <c r="J181" i="9" s="1"/>
  <c r="I182" i="9"/>
  <c r="J182" i="9" s="1"/>
  <c r="I183" i="9"/>
  <c r="J183" i="9" s="1"/>
  <c r="I184" i="9"/>
  <c r="J184" i="9" s="1"/>
  <c r="I185" i="9"/>
  <c r="J185" i="9" s="1"/>
  <c r="I186" i="9"/>
  <c r="J186" i="9" s="1"/>
  <c r="I187" i="9"/>
  <c r="J187" i="9" s="1"/>
  <c r="I188" i="9"/>
  <c r="J188" i="9" s="1"/>
  <c r="I189" i="9"/>
  <c r="J189" i="9" s="1"/>
  <c r="I190" i="9"/>
  <c r="J190" i="9" s="1"/>
  <c r="I191" i="9"/>
  <c r="J191" i="9" s="1"/>
  <c r="I192" i="9"/>
  <c r="J192" i="9" s="1"/>
  <c r="I193" i="9"/>
  <c r="J193" i="9" s="1"/>
  <c r="I194" i="9"/>
  <c r="J194" i="9" s="1"/>
  <c r="I195" i="9"/>
  <c r="J195" i="9" s="1"/>
  <c r="H192" i="9"/>
  <c r="H193" i="9"/>
  <c r="H194" i="9"/>
  <c r="H195" i="9"/>
  <c r="G192" i="9"/>
  <c r="G193" i="9"/>
  <c r="G194" i="9"/>
  <c r="G195" i="9"/>
  <c r="A3" i="9" l="1"/>
  <c r="C3" i="9"/>
  <c r="A4" i="9"/>
  <c r="C4" i="9"/>
  <c r="C195" i="9"/>
  <c r="A195" i="9"/>
  <c r="D195" i="9" s="1"/>
  <c r="E195" i="9" s="1"/>
  <c r="K195" i="9" s="1"/>
  <c r="C194" i="9"/>
  <c r="A194" i="9"/>
  <c r="D194" i="9" s="1"/>
  <c r="E194" i="9" s="1"/>
  <c r="K194" i="9" s="1"/>
  <c r="C193" i="9"/>
  <c r="A193" i="9"/>
  <c r="D193" i="9" s="1"/>
  <c r="E193" i="9" s="1"/>
  <c r="K193" i="9" s="1"/>
  <c r="C192" i="9"/>
  <c r="A192" i="9"/>
  <c r="D192" i="9" s="1"/>
  <c r="E192" i="9" s="1"/>
  <c r="K192" i="9" s="1"/>
  <c r="C191" i="9"/>
  <c r="A191" i="9"/>
  <c r="C190" i="9"/>
  <c r="A190" i="9"/>
  <c r="C189" i="9"/>
  <c r="A189" i="9"/>
  <c r="C188" i="9"/>
  <c r="A188" i="9"/>
  <c r="C187" i="9"/>
  <c r="A187" i="9"/>
  <c r="C186" i="9"/>
  <c r="A186" i="9"/>
  <c r="C185" i="9"/>
  <c r="A185" i="9"/>
  <c r="C184" i="9"/>
  <c r="A184" i="9"/>
  <c r="C183" i="9"/>
  <c r="A183" i="9"/>
  <c r="C182" i="9"/>
  <c r="A182" i="9"/>
  <c r="C181" i="9"/>
  <c r="A181" i="9"/>
  <c r="C180" i="9"/>
  <c r="A180" i="9"/>
  <c r="C179" i="9"/>
  <c r="A179" i="9"/>
  <c r="C178" i="9"/>
  <c r="A178" i="9"/>
  <c r="C177" i="9"/>
  <c r="A177" i="9"/>
  <c r="C176" i="9"/>
  <c r="A176" i="9"/>
  <c r="C175" i="9"/>
  <c r="A175" i="9"/>
  <c r="C174" i="9"/>
  <c r="A174" i="9"/>
  <c r="C173" i="9"/>
  <c r="A173" i="9"/>
  <c r="C172" i="9"/>
  <c r="A172" i="9"/>
  <c r="C171" i="9"/>
  <c r="A171" i="9"/>
  <c r="C170" i="9"/>
  <c r="A170" i="9"/>
  <c r="C169" i="9"/>
  <c r="A169" i="9"/>
  <c r="C168" i="9"/>
  <c r="A168" i="9"/>
  <c r="C167" i="9"/>
  <c r="A167" i="9"/>
  <c r="C166" i="9"/>
  <c r="A166" i="9"/>
  <c r="C165" i="9"/>
  <c r="A165" i="9"/>
  <c r="C164" i="9"/>
  <c r="A164" i="9"/>
  <c r="C163" i="9"/>
  <c r="A163" i="9"/>
  <c r="C162" i="9"/>
  <c r="A162" i="9"/>
  <c r="C161" i="9"/>
  <c r="A161" i="9"/>
  <c r="C160" i="9"/>
  <c r="A160" i="9"/>
  <c r="C159" i="9"/>
  <c r="A159" i="9"/>
  <c r="C158" i="9"/>
  <c r="A158" i="9"/>
  <c r="C157" i="9"/>
  <c r="A157" i="9"/>
  <c r="C156" i="9"/>
  <c r="A156" i="9"/>
  <c r="C155" i="9"/>
  <c r="A155" i="9"/>
  <c r="C154" i="9"/>
  <c r="A154" i="9"/>
  <c r="C153" i="9"/>
  <c r="A153" i="9"/>
  <c r="C152" i="9"/>
  <c r="A152" i="9"/>
  <c r="C151" i="9"/>
  <c r="A151" i="9"/>
  <c r="C150" i="9"/>
  <c r="A150" i="9"/>
  <c r="C149" i="9"/>
  <c r="A149" i="9"/>
  <c r="C148" i="9"/>
  <c r="A148" i="9"/>
  <c r="C147" i="9"/>
  <c r="A147" i="9"/>
  <c r="C146" i="9"/>
  <c r="A146" i="9"/>
  <c r="C145" i="9"/>
  <c r="A145" i="9"/>
  <c r="C144" i="9"/>
  <c r="A144" i="9"/>
  <c r="C143" i="9"/>
  <c r="A143" i="9"/>
  <c r="C142" i="9"/>
  <c r="A142" i="9"/>
  <c r="C141" i="9"/>
  <c r="A141" i="9"/>
  <c r="C140" i="9"/>
  <c r="A140" i="9"/>
  <c r="C139" i="9"/>
  <c r="A139" i="9"/>
  <c r="C138" i="9"/>
  <c r="A138" i="9"/>
  <c r="C137" i="9"/>
  <c r="A137" i="9"/>
  <c r="C136" i="9"/>
  <c r="A136" i="9"/>
  <c r="C135" i="9"/>
  <c r="A135" i="9"/>
  <c r="C134" i="9"/>
  <c r="A134" i="9"/>
  <c r="C133" i="9"/>
  <c r="A133" i="9"/>
  <c r="C132" i="9"/>
  <c r="A132" i="9"/>
  <c r="C131" i="9"/>
  <c r="A131" i="9"/>
  <c r="C130" i="9"/>
  <c r="A130" i="9"/>
  <c r="C129" i="9"/>
  <c r="A129" i="9"/>
  <c r="C128" i="9"/>
  <c r="A128" i="9"/>
  <c r="C127" i="9"/>
  <c r="A127" i="9"/>
  <c r="C126" i="9"/>
  <c r="A126" i="9"/>
  <c r="C125" i="9"/>
  <c r="A125" i="9"/>
  <c r="C124" i="9"/>
  <c r="A124" i="9"/>
  <c r="C123" i="9"/>
  <c r="A123" i="9"/>
  <c r="C122" i="9"/>
  <c r="A122" i="9"/>
  <c r="C121" i="9"/>
  <c r="A121" i="9"/>
  <c r="C120" i="9"/>
  <c r="A120" i="9"/>
  <c r="C119" i="9"/>
  <c r="A119" i="9"/>
  <c r="C118" i="9"/>
  <c r="A118" i="9"/>
  <c r="C117" i="9"/>
  <c r="A117" i="9"/>
  <c r="C116" i="9"/>
  <c r="A116" i="9"/>
  <c r="C115" i="9"/>
  <c r="A115" i="9"/>
  <c r="C114" i="9"/>
  <c r="A114" i="9"/>
  <c r="C113" i="9"/>
  <c r="A113" i="9"/>
  <c r="C112" i="9"/>
  <c r="A112" i="9"/>
  <c r="C111" i="9"/>
  <c r="A111" i="9"/>
  <c r="C110" i="9"/>
  <c r="A110" i="9"/>
  <c r="C109" i="9"/>
  <c r="A109" i="9"/>
  <c r="C108" i="9"/>
  <c r="A108" i="9"/>
  <c r="C107" i="9"/>
  <c r="A107" i="9"/>
  <c r="C106" i="9"/>
  <c r="A106" i="9"/>
  <c r="C105" i="9"/>
  <c r="A105" i="9"/>
  <c r="C104" i="9"/>
  <c r="A104" i="9"/>
  <c r="C103" i="9"/>
  <c r="A103" i="9"/>
  <c r="C102" i="9"/>
  <c r="A102" i="9"/>
  <c r="C101" i="9"/>
  <c r="A101" i="9"/>
  <c r="C100" i="9"/>
  <c r="A100" i="9"/>
  <c r="C99" i="9"/>
  <c r="A99" i="9"/>
  <c r="C98" i="9"/>
  <c r="A98" i="9"/>
  <c r="C97" i="9"/>
  <c r="A97" i="9"/>
  <c r="C96" i="9"/>
  <c r="A96" i="9"/>
  <c r="C95" i="9"/>
  <c r="A95" i="9"/>
  <c r="C94" i="9"/>
  <c r="A94" i="9"/>
  <c r="C93" i="9"/>
  <c r="A93" i="9"/>
  <c r="C92" i="9"/>
  <c r="A92" i="9"/>
  <c r="C91" i="9"/>
  <c r="A91" i="9"/>
  <c r="C90" i="9"/>
  <c r="A90" i="9"/>
  <c r="C89" i="9"/>
  <c r="A89" i="9"/>
  <c r="C88" i="9"/>
  <c r="A88" i="9"/>
  <c r="C87" i="9"/>
  <c r="A87" i="9"/>
  <c r="C86" i="9"/>
  <c r="A86" i="9"/>
  <c r="C85" i="9"/>
  <c r="A85" i="9"/>
  <c r="C84" i="9"/>
  <c r="A84" i="9"/>
  <c r="C83" i="9"/>
  <c r="A83" i="9"/>
  <c r="C82" i="9"/>
  <c r="A82" i="9"/>
  <c r="C81" i="9"/>
  <c r="A81" i="9"/>
  <c r="C80" i="9"/>
  <c r="A80" i="9"/>
  <c r="C79" i="9"/>
  <c r="A79" i="9"/>
  <c r="C78" i="9"/>
  <c r="A78" i="9"/>
  <c r="C77" i="9"/>
  <c r="A77" i="9"/>
  <c r="C76" i="9"/>
  <c r="A76" i="9"/>
  <c r="C75" i="9"/>
  <c r="A75" i="9"/>
  <c r="C74" i="9"/>
  <c r="A74" i="9"/>
  <c r="C73" i="9"/>
  <c r="A73" i="9"/>
  <c r="C72" i="9"/>
  <c r="A72" i="9"/>
  <c r="C71" i="9"/>
  <c r="A71" i="9"/>
  <c r="C70" i="9"/>
  <c r="A70" i="9"/>
  <c r="C69" i="9"/>
  <c r="A69" i="9"/>
  <c r="C68" i="9"/>
  <c r="A68" i="9"/>
  <c r="C67" i="9"/>
  <c r="A67" i="9"/>
  <c r="C66" i="9"/>
  <c r="A66" i="9"/>
  <c r="C65" i="9"/>
  <c r="A65" i="9"/>
  <c r="C64" i="9"/>
  <c r="A64" i="9"/>
  <c r="C63" i="9"/>
  <c r="A63" i="9"/>
  <c r="C62" i="9"/>
  <c r="A62" i="9"/>
  <c r="C61" i="9"/>
  <c r="A61" i="9"/>
  <c r="C60" i="9"/>
  <c r="A60" i="9"/>
  <c r="C59" i="9"/>
  <c r="A59" i="9"/>
  <c r="C58" i="9"/>
  <c r="A58" i="9"/>
  <c r="C57" i="9"/>
  <c r="A57" i="9"/>
  <c r="C56" i="9"/>
  <c r="A56" i="9"/>
  <c r="C55" i="9"/>
  <c r="A55" i="9"/>
  <c r="C54" i="9"/>
  <c r="A54" i="9"/>
  <c r="C53" i="9"/>
  <c r="A53" i="9"/>
  <c r="C52" i="9"/>
  <c r="A52" i="9"/>
  <c r="C51" i="9"/>
  <c r="A51" i="9"/>
  <c r="C50" i="9"/>
  <c r="A50" i="9"/>
  <c r="C49" i="9"/>
  <c r="A49" i="9"/>
  <c r="C48" i="9"/>
  <c r="A48" i="9"/>
  <c r="C47" i="9"/>
  <c r="A47" i="9"/>
  <c r="C46" i="9"/>
  <c r="A46" i="9"/>
  <c r="C45" i="9"/>
  <c r="A45" i="9"/>
  <c r="C44" i="9"/>
  <c r="A44" i="9"/>
  <c r="C43" i="9"/>
  <c r="A43" i="9"/>
  <c r="C42" i="9"/>
  <c r="A42" i="9"/>
  <c r="C41" i="9"/>
  <c r="A41" i="9"/>
  <c r="C40" i="9"/>
  <c r="A40" i="9"/>
  <c r="C39" i="9"/>
  <c r="A39" i="9"/>
  <c r="C38" i="9"/>
  <c r="A38" i="9"/>
  <c r="C37" i="9"/>
  <c r="A37" i="9"/>
  <c r="C36" i="9"/>
  <c r="A36" i="9"/>
  <c r="C35" i="9"/>
  <c r="A35" i="9"/>
  <c r="C34" i="9"/>
  <c r="A34" i="9"/>
  <c r="C33" i="9"/>
  <c r="A33" i="9"/>
  <c r="C32" i="9"/>
  <c r="A32" i="9"/>
  <c r="C31" i="9"/>
  <c r="A31" i="9"/>
  <c r="C30" i="9"/>
  <c r="A30" i="9"/>
  <c r="C29" i="9"/>
  <c r="A29" i="9"/>
  <c r="C28" i="9"/>
  <c r="A28" i="9"/>
  <c r="C27" i="9"/>
  <c r="A27" i="9"/>
  <c r="C26" i="9"/>
  <c r="A26" i="9"/>
  <c r="C25" i="9"/>
  <c r="A25" i="9"/>
  <c r="C24" i="9"/>
  <c r="A24" i="9"/>
  <c r="C23" i="9"/>
  <c r="A23" i="9"/>
  <c r="C22" i="9"/>
  <c r="A22" i="9"/>
  <c r="C21" i="9"/>
  <c r="A21" i="9"/>
  <c r="C20" i="9"/>
  <c r="A20" i="9"/>
  <c r="C19" i="9"/>
  <c r="A19" i="9"/>
  <c r="C18" i="9"/>
  <c r="A18" i="9"/>
  <c r="C17" i="9"/>
  <c r="A17" i="9"/>
  <c r="C16" i="9"/>
  <c r="A16" i="9"/>
  <c r="C15" i="9"/>
  <c r="A15" i="9"/>
  <c r="C14" i="9"/>
  <c r="A14" i="9"/>
  <c r="C13" i="9"/>
  <c r="A13" i="9"/>
  <c r="C12" i="9"/>
  <c r="A12" i="9"/>
  <c r="C11" i="9"/>
  <c r="A11" i="9"/>
  <c r="C10" i="9"/>
  <c r="A10" i="9"/>
  <c r="C9" i="9"/>
  <c r="A9" i="9"/>
  <c r="C8" i="9"/>
  <c r="A8" i="9"/>
  <c r="C7" i="9"/>
  <c r="A7" i="9"/>
  <c r="C6" i="9"/>
  <c r="A6" i="9"/>
  <c r="C5" i="9"/>
  <c r="A5" i="9"/>
  <c r="L192" i="9" l="1"/>
  <c r="M192" i="9"/>
  <c r="L193" i="9"/>
  <c r="M193" i="9"/>
  <c r="L194" i="9"/>
  <c r="M194" i="9"/>
  <c r="L195" i="9"/>
  <c r="M195" i="9"/>
  <c r="H4" i="9"/>
  <c r="G4" i="9"/>
  <c r="B3" i="9"/>
  <c r="H3" i="9"/>
  <c r="G3" i="9"/>
  <c r="D5" i="9"/>
  <c r="E5" i="9" s="1"/>
  <c r="K5" i="9" s="1"/>
  <c r="G5" i="9"/>
  <c r="H5" i="9"/>
  <c r="D6" i="9"/>
  <c r="E6" i="9" s="1"/>
  <c r="K6" i="9" s="1"/>
  <c r="H6" i="9"/>
  <c r="G6" i="9"/>
  <c r="D7" i="9"/>
  <c r="E7" i="9" s="1"/>
  <c r="K7" i="9" s="1"/>
  <c r="H7" i="9"/>
  <c r="G7" i="9"/>
  <c r="D8" i="9"/>
  <c r="E8" i="9" s="1"/>
  <c r="K8" i="9" s="1"/>
  <c r="H8" i="9"/>
  <c r="G8" i="9"/>
  <c r="D9" i="9"/>
  <c r="E9" i="9" s="1"/>
  <c r="K9" i="9" s="1"/>
  <c r="G9" i="9"/>
  <c r="H9" i="9"/>
  <c r="D10" i="9"/>
  <c r="E10" i="9" s="1"/>
  <c r="K10" i="9" s="1"/>
  <c r="H10" i="9"/>
  <c r="G10" i="9"/>
  <c r="D11" i="9"/>
  <c r="E11" i="9" s="1"/>
  <c r="K11" i="9" s="1"/>
  <c r="H11" i="9"/>
  <c r="G11" i="9"/>
  <c r="D12" i="9"/>
  <c r="E12" i="9" s="1"/>
  <c r="K12" i="9" s="1"/>
  <c r="H12" i="9"/>
  <c r="G12" i="9"/>
  <c r="D13" i="9"/>
  <c r="E13" i="9" s="1"/>
  <c r="K13" i="9" s="1"/>
  <c r="G13" i="9"/>
  <c r="H13" i="9"/>
  <c r="D14" i="9"/>
  <c r="E14" i="9" s="1"/>
  <c r="K14" i="9" s="1"/>
  <c r="H14" i="9"/>
  <c r="G14" i="9"/>
  <c r="D15" i="9"/>
  <c r="E15" i="9" s="1"/>
  <c r="K15" i="9" s="1"/>
  <c r="H15" i="9"/>
  <c r="G15" i="9"/>
  <c r="D16" i="9"/>
  <c r="E16" i="9" s="1"/>
  <c r="K16" i="9" s="1"/>
  <c r="H16" i="9"/>
  <c r="G16" i="9"/>
  <c r="D17" i="9"/>
  <c r="E17" i="9" s="1"/>
  <c r="K17" i="9" s="1"/>
  <c r="G17" i="9"/>
  <c r="H17" i="9"/>
  <c r="D18" i="9"/>
  <c r="E18" i="9" s="1"/>
  <c r="K18" i="9" s="1"/>
  <c r="H18" i="9"/>
  <c r="G18" i="9"/>
  <c r="D19" i="9"/>
  <c r="E19" i="9" s="1"/>
  <c r="H19" i="9"/>
  <c r="G19" i="9"/>
  <c r="D20" i="9"/>
  <c r="E20" i="9" s="1"/>
  <c r="H20" i="9"/>
  <c r="G20" i="9"/>
  <c r="D21" i="9"/>
  <c r="E21" i="9" s="1"/>
  <c r="G21" i="9"/>
  <c r="H21" i="9"/>
  <c r="D22" i="9"/>
  <c r="E22" i="9" s="1"/>
  <c r="H22" i="9"/>
  <c r="G22" i="9"/>
  <c r="D23" i="9"/>
  <c r="E23" i="9" s="1"/>
  <c r="H23" i="9"/>
  <c r="G23" i="9"/>
  <c r="D24" i="9"/>
  <c r="E24" i="9" s="1"/>
  <c r="H24" i="9"/>
  <c r="G24" i="9"/>
  <c r="D25" i="9"/>
  <c r="E25" i="9" s="1"/>
  <c r="K25" i="9" s="1"/>
  <c r="G25" i="9"/>
  <c r="H25" i="9"/>
  <c r="D26" i="9"/>
  <c r="E26" i="9" s="1"/>
  <c r="H26" i="9"/>
  <c r="G26" i="9"/>
  <c r="D27" i="9"/>
  <c r="E27" i="9" s="1"/>
  <c r="H27" i="9"/>
  <c r="G27" i="9"/>
  <c r="D28" i="9"/>
  <c r="E28" i="9" s="1"/>
  <c r="K28" i="9" s="1"/>
  <c r="H28" i="9"/>
  <c r="G28" i="9"/>
  <c r="D29" i="9"/>
  <c r="E29" i="9" s="1"/>
  <c r="K29" i="9" s="1"/>
  <c r="G29" i="9"/>
  <c r="H29" i="9"/>
  <c r="D30" i="9"/>
  <c r="E30" i="9" s="1"/>
  <c r="K30" i="9" s="1"/>
  <c r="H30" i="9"/>
  <c r="G30" i="9"/>
  <c r="D31" i="9"/>
  <c r="E31" i="9" s="1"/>
  <c r="K31" i="9" s="1"/>
  <c r="H31" i="9"/>
  <c r="G31" i="9"/>
  <c r="D32" i="9"/>
  <c r="E32" i="9" s="1"/>
  <c r="K32" i="9" s="1"/>
  <c r="H32" i="9"/>
  <c r="G32" i="9"/>
  <c r="D33" i="9"/>
  <c r="E33" i="9" s="1"/>
  <c r="K33" i="9" s="1"/>
  <c r="G33" i="9"/>
  <c r="H33" i="9"/>
  <c r="D34" i="9"/>
  <c r="E34" i="9" s="1"/>
  <c r="K34" i="9" s="1"/>
  <c r="H34" i="9"/>
  <c r="G34" i="9"/>
  <c r="D35" i="9"/>
  <c r="E35" i="9" s="1"/>
  <c r="K35" i="9" s="1"/>
  <c r="H35" i="9"/>
  <c r="G35" i="9"/>
  <c r="D36" i="9"/>
  <c r="E36" i="9" s="1"/>
  <c r="H36" i="9"/>
  <c r="G36" i="9"/>
  <c r="D37" i="9"/>
  <c r="E37" i="9" s="1"/>
  <c r="G37" i="9"/>
  <c r="H37" i="9"/>
  <c r="D38" i="9"/>
  <c r="E38" i="9" s="1"/>
  <c r="K38" i="9" s="1"/>
  <c r="H38" i="9"/>
  <c r="G38" i="9"/>
  <c r="D39" i="9"/>
  <c r="E39" i="9" s="1"/>
  <c r="H39" i="9"/>
  <c r="G39" i="9"/>
  <c r="D40" i="9"/>
  <c r="E40" i="9" s="1"/>
  <c r="K40" i="9" s="1"/>
  <c r="H40" i="9"/>
  <c r="G40" i="9"/>
  <c r="D41" i="9"/>
  <c r="E41" i="9" s="1"/>
  <c r="K41" i="9" s="1"/>
  <c r="H41" i="9"/>
  <c r="G41" i="9"/>
  <c r="D42" i="9"/>
  <c r="E42" i="9" s="1"/>
  <c r="H42" i="9"/>
  <c r="G42" i="9"/>
  <c r="D43" i="9"/>
  <c r="E43" i="9" s="1"/>
  <c r="L43" i="9" s="1"/>
  <c r="H43" i="9"/>
  <c r="G43" i="9"/>
  <c r="D44" i="9"/>
  <c r="E44" i="9" s="1"/>
  <c r="L44" i="9" s="1"/>
  <c r="H44" i="9"/>
  <c r="G44" i="9"/>
  <c r="D45" i="9"/>
  <c r="E45" i="9" s="1"/>
  <c r="L45" i="9" s="1"/>
  <c r="G45" i="9"/>
  <c r="H45" i="9"/>
  <c r="D46" i="9"/>
  <c r="E46" i="9" s="1"/>
  <c r="L46" i="9" s="1"/>
  <c r="H46" i="9"/>
  <c r="G46" i="9"/>
  <c r="D47" i="9"/>
  <c r="E47" i="9" s="1"/>
  <c r="L47" i="9" s="1"/>
  <c r="H47" i="9"/>
  <c r="G47" i="9"/>
  <c r="D48" i="9"/>
  <c r="E48" i="9" s="1"/>
  <c r="L48" i="9" s="1"/>
  <c r="H48" i="9"/>
  <c r="G48" i="9"/>
  <c r="D49" i="9"/>
  <c r="E49" i="9" s="1"/>
  <c r="L49" i="9" s="1"/>
  <c r="H49" i="9"/>
  <c r="G49" i="9"/>
  <c r="D50" i="9"/>
  <c r="E50" i="9" s="1"/>
  <c r="L50" i="9" s="1"/>
  <c r="H50" i="9"/>
  <c r="G50" i="9"/>
  <c r="D51" i="9"/>
  <c r="E51" i="9" s="1"/>
  <c r="L51" i="9" s="1"/>
  <c r="H51" i="9"/>
  <c r="G51" i="9"/>
  <c r="D52" i="9"/>
  <c r="E52" i="9" s="1"/>
  <c r="L52" i="9" s="1"/>
  <c r="H52" i="9"/>
  <c r="G52" i="9"/>
  <c r="D53" i="9"/>
  <c r="E53" i="9" s="1"/>
  <c r="L53" i="9" s="1"/>
  <c r="H53" i="9"/>
  <c r="G53" i="9"/>
  <c r="D54" i="9"/>
  <c r="E54" i="9" s="1"/>
  <c r="L54" i="9" s="1"/>
  <c r="H54" i="9"/>
  <c r="G54" i="9"/>
  <c r="D55" i="9"/>
  <c r="E55" i="9" s="1"/>
  <c r="L55" i="9" s="1"/>
  <c r="H55" i="9"/>
  <c r="G55" i="9"/>
  <c r="D56" i="9"/>
  <c r="E56" i="9" s="1"/>
  <c r="L56" i="9" s="1"/>
  <c r="H56" i="9"/>
  <c r="G56" i="9"/>
  <c r="D57" i="9"/>
  <c r="E57" i="9" s="1"/>
  <c r="L57" i="9" s="1"/>
  <c r="H57" i="9"/>
  <c r="G57" i="9"/>
  <c r="D58" i="9"/>
  <c r="E58" i="9" s="1"/>
  <c r="L58" i="9" s="1"/>
  <c r="H58" i="9"/>
  <c r="G58" i="9"/>
  <c r="D59" i="9"/>
  <c r="E59" i="9" s="1"/>
  <c r="K59" i="9" s="1"/>
  <c r="H59" i="9"/>
  <c r="G59" i="9"/>
  <c r="D60" i="9"/>
  <c r="E60" i="9" s="1"/>
  <c r="K60" i="9" s="1"/>
  <c r="H60" i="9"/>
  <c r="G60" i="9"/>
  <c r="D61" i="9"/>
  <c r="E61" i="9" s="1"/>
  <c r="K61" i="9" s="1"/>
  <c r="H61" i="9"/>
  <c r="G61" i="9"/>
  <c r="D62" i="9"/>
  <c r="E62" i="9" s="1"/>
  <c r="K62" i="9" s="1"/>
  <c r="H62" i="9"/>
  <c r="G62" i="9"/>
  <c r="D63" i="9"/>
  <c r="E63" i="9" s="1"/>
  <c r="K63" i="9" s="1"/>
  <c r="H63" i="9"/>
  <c r="G63" i="9"/>
  <c r="D64" i="9"/>
  <c r="E64" i="9" s="1"/>
  <c r="K64" i="9" s="1"/>
  <c r="H64" i="9"/>
  <c r="G64" i="9"/>
  <c r="D65" i="9"/>
  <c r="E65" i="9" s="1"/>
  <c r="L65" i="9" s="1"/>
  <c r="H65" i="9"/>
  <c r="G65" i="9"/>
  <c r="D66" i="9"/>
  <c r="E66" i="9" s="1"/>
  <c r="L66" i="9" s="1"/>
  <c r="H66" i="9"/>
  <c r="G66" i="9"/>
  <c r="D67" i="9"/>
  <c r="E67" i="9" s="1"/>
  <c r="K67" i="9" s="1"/>
  <c r="H67" i="9"/>
  <c r="G67" i="9"/>
  <c r="D68" i="9"/>
  <c r="E68" i="9" s="1"/>
  <c r="K68" i="9" s="1"/>
  <c r="H68" i="9"/>
  <c r="G68" i="9"/>
  <c r="D69" i="9"/>
  <c r="E69" i="9" s="1"/>
  <c r="K69" i="9" s="1"/>
  <c r="H69" i="9"/>
  <c r="G69" i="9"/>
  <c r="D70" i="9"/>
  <c r="E70" i="9" s="1"/>
  <c r="K70" i="9" s="1"/>
  <c r="H70" i="9"/>
  <c r="G70" i="9"/>
  <c r="D71" i="9"/>
  <c r="E71" i="9" s="1"/>
  <c r="L71" i="9" s="1"/>
  <c r="H71" i="9"/>
  <c r="G71" i="9"/>
  <c r="D72" i="9"/>
  <c r="E72" i="9" s="1"/>
  <c r="L72" i="9" s="1"/>
  <c r="H72" i="9"/>
  <c r="G72" i="9"/>
  <c r="D73" i="9"/>
  <c r="E73" i="9" s="1"/>
  <c r="L73" i="9" s="1"/>
  <c r="H73" i="9"/>
  <c r="G73" i="9"/>
  <c r="D74" i="9"/>
  <c r="E74" i="9" s="1"/>
  <c r="L74" i="9" s="1"/>
  <c r="H74" i="9"/>
  <c r="G74" i="9"/>
  <c r="D75" i="9"/>
  <c r="E75" i="9" s="1"/>
  <c r="L75" i="9" s="1"/>
  <c r="H75" i="9"/>
  <c r="G75" i="9"/>
  <c r="D76" i="9"/>
  <c r="E76" i="9" s="1"/>
  <c r="L76" i="9" s="1"/>
  <c r="H76" i="9"/>
  <c r="G76" i="9"/>
  <c r="D77" i="9"/>
  <c r="E77" i="9" s="1"/>
  <c r="K77" i="9" s="1"/>
  <c r="H77" i="9"/>
  <c r="G77" i="9"/>
  <c r="D78" i="9"/>
  <c r="E78" i="9" s="1"/>
  <c r="L78" i="9" s="1"/>
  <c r="H78" i="9"/>
  <c r="G78" i="9"/>
  <c r="D79" i="9"/>
  <c r="E79" i="9" s="1"/>
  <c r="K79" i="9" s="1"/>
  <c r="H79" i="9"/>
  <c r="G79" i="9"/>
  <c r="D80" i="9"/>
  <c r="E80" i="9" s="1"/>
  <c r="K80" i="9" s="1"/>
  <c r="H80" i="9"/>
  <c r="G80" i="9"/>
  <c r="D81" i="9"/>
  <c r="E81" i="9" s="1"/>
  <c r="K81" i="9" s="1"/>
  <c r="H81" i="9"/>
  <c r="G81" i="9"/>
  <c r="D82" i="9"/>
  <c r="E82" i="9" s="1"/>
  <c r="K82" i="9" s="1"/>
  <c r="H82" i="9"/>
  <c r="G82" i="9"/>
  <c r="D83" i="9"/>
  <c r="E83" i="9" s="1"/>
  <c r="K83" i="9" s="1"/>
  <c r="H83" i="9"/>
  <c r="G83" i="9"/>
  <c r="D84" i="9"/>
  <c r="E84" i="9" s="1"/>
  <c r="K84" i="9" s="1"/>
  <c r="H84" i="9"/>
  <c r="G84" i="9"/>
  <c r="D85" i="9"/>
  <c r="E85" i="9" s="1"/>
  <c r="K85" i="9" s="1"/>
  <c r="H85" i="9"/>
  <c r="G85" i="9"/>
  <c r="D86" i="9"/>
  <c r="E86" i="9" s="1"/>
  <c r="L86" i="9" s="1"/>
  <c r="H86" i="9"/>
  <c r="G86" i="9"/>
  <c r="D87" i="9"/>
  <c r="E87" i="9" s="1"/>
  <c r="L87" i="9" s="1"/>
  <c r="H87" i="9"/>
  <c r="G87" i="9"/>
  <c r="D88" i="9"/>
  <c r="E88" i="9" s="1"/>
  <c r="L88" i="9" s="1"/>
  <c r="H88" i="9"/>
  <c r="G88" i="9"/>
  <c r="D89" i="9"/>
  <c r="E89" i="9" s="1"/>
  <c r="L89" i="9" s="1"/>
  <c r="H89" i="9"/>
  <c r="G89" i="9"/>
  <c r="D90" i="9"/>
  <c r="E90" i="9" s="1"/>
  <c r="L90" i="9" s="1"/>
  <c r="H90" i="9"/>
  <c r="G90" i="9"/>
  <c r="D91" i="9"/>
  <c r="E91" i="9" s="1"/>
  <c r="K91" i="9" s="1"/>
  <c r="H91" i="9"/>
  <c r="G91" i="9"/>
  <c r="D92" i="9"/>
  <c r="E92" i="9" s="1"/>
  <c r="K92" i="9" s="1"/>
  <c r="H92" i="9"/>
  <c r="G92" i="9"/>
  <c r="D93" i="9"/>
  <c r="E93" i="9" s="1"/>
  <c r="K93" i="9" s="1"/>
  <c r="H93" i="9"/>
  <c r="G93" i="9"/>
  <c r="D94" i="9"/>
  <c r="E94" i="9" s="1"/>
  <c r="K94" i="9" s="1"/>
  <c r="H94" i="9"/>
  <c r="G94" i="9"/>
  <c r="D95" i="9"/>
  <c r="E95" i="9" s="1"/>
  <c r="K95" i="9" s="1"/>
  <c r="H95" i="9"/>
  <c r="G95" i="9"/>
  <c r="D96" i="9"/>
  <c r="E96" i="9" s="1"/>
  <c r="K96" i="9" s="1"/>
  <c r="H96" i="9"/>
  <c r="G96" i="9"/>
  <c r="D97" i="9"/>
  <c r="E97" i="9" s="1"/>
  <c r="K97" i="9" s="1"/>
  <c r="H97" i="9"/>
  <c r="G97" i="9"/>
  <c r="D98" i="9"/>
  <c r="E98" i="9" s="1"/>
  <c r="L98" i="9" s="1"/>
  <c r="H98" i="9"/>
  <c r="G98" i="9"/>
  <c r="D99" i="9"/>
  <c r="E99" i="9" s="1"/>
  <c r="L99" i="9" s="1"/>
  <c r="H99" i="9"/>
  <c r="G99" i="9"/>
  <c r="D100" i="9"/>
  <c r="E100" i="9" s="1"/>
  <c r="L100" i="9" s="1"/>
  <c r="H100" i="9"/>
  <c r="G100" i="9"/>
  <c r="D101" i="9"/>
  <c r="E101" i="9" s="1"/>
  <c r="L101" i="9" s="1"/>
  <c r="H101" i="9"/>
  <c r="G101" i="9"/>
  <c r="D102" i="9"/>
  <c r="E102" i="9" s="1"/>
  <c r="L102" i="9" s="1"/>
  <c r="H102" i="9"/>
  <c r="G102" i="9"/>
  <c r="D103" i="9"/>
  <c r="E103" i="9" s="1"/>
  <c r="L103" i="9" s="1"/>
  <c r="H103" i="9"/>
  <c r="G103" i="9"/>
  <c r="D104" i="9"/>
  <c r="E104" i="9" s="1"/>
  <c r="K104" i="9" s="1"/>
  <c r="H104" i="9"/>
  <c r="G104" i="9"/>
  <c r="D105" i="9"/>
  <c r="E105" i="9" s="1"/>
  <c r="K105" i="9" s="1"/>
  <c r="H105" i="9"/>
  <c r="G105" i="9"/>
  <c r="D106" i="9"/>
  <c r="E106" i="9" s="1"/>
  <c r="K106" i="9" s="1"/>
  <c r="H106" i="9"/>
  <c r="G106" i="9"/>
  <c r="D107" i="9"/>
  <c r="E107" i="9" s="1"/>
  <c r="K107" i="9" s="1"/>
  <c r="H107" i="9"/>
  <c r="G107" i="9"/>
  <c r="D108" i="9"/>
  <c r="E108" i="9" s="1"/>
  <c r="K108" i="9" s="1"/>
  <c r="H108" i="9"/>
  <c r="G108" i="9"/>
  <c r="D109" i="9"/>
  <c r="E109" i="9" s="1"/>
  <c r="K109" i="9" s="1"/>
  <c r="H109" i="9"/>
  <c r="G109" i="9"/>
  <c r="D110" i="9"/>
  <c r="E110" i="9" s="1"/>
  <c r="K110" i="9" s="1"/>
  <c r="H110" i="9"/>
  <c r="G110" i="9"/>
  <c r="D111" i="9"/>
  <c r="E111" i="9" s="1"/>
  <c r="K111" i="9" s="1"/>
  <c r="H111" i="9"/>
  <c r="G111" i="9"/>
  <c r="D112" i="9"/>
  <c r="E112" i="9" s="1"/>
  <c r="L112" i="9" s="1"/>
  <c r="H112" i="9"/>
  <c r="G112" i="9"/>
  <c r="D113" i="9"/>
  <c r="E113" i="9" s="1"/>
  <c r="L113" i="9" s="1"/>
  <c r="H113" i="9"/>
  <c r="G113" i="9"/>
  <c r="D114" i="9"/>
  <c r="E114" i="9" s="1"/>
  <c r="L114" i="9" s="1"/>
  <c r="H114" i="9"/>
  <c r="G114" i="9"/>
  <c r="D115" i="9"/>
  <c r="E115" i="9" s="1"/>
  <c r="H115" i="9"/>
  <c r="G115" i="9"/>
  <c r="D116" i="9"/>
  <c r="E116" i="9" s="1"/>
  <c r="L116" i="9" s="1"/>
  <c r="H116" i="9"/>
  <c r="G116" i="9"/>
  <c r="D117" i="9"/>
  <c r="E117" i="9" s="1"/>
  <c r="L117" i="9" s="1"/>
  <c r="H117" i="9"/>
  <c r="G117" i="9"/>
  <c r="D118" i="9"/>
  <c r="E118" i="9" s="1"/>
  <c r="K118" i="9" s="1"/>
  <c r="H118" i="9"/>
  <c r="G118" i="9"/>
  <c r="D119" i="9"/>
  <c r="E119" i="9" s="1"/>
  <c r="K119" i="9" s="1"/>
  <c r="H119" i="9"/>
  <c r="G119" i="9"/>
  <c r="D120" i="9"/>
  <c r="E120" i="9" s="1"/>
  <c r="K120" i="9" s="1"/>
  <c r="H120" i="9"/>
  <c r="G120" i="9"/>
  <c r="D121" i="9"/>
  <c r="E121" i="9" s="1"/>
  <c r="K121" i="9" s="1"/>
  <c r="H121" i="9"/>
  <c r="G121" i="9"/>
  <c r="D122" i="9"/>
  <c r="E122" i="9" s="1"/>
  <c r="K122" i="9" s="1"/>
  <c r="H122" i="9"/>
  <c r="G122" i="9"/>
  <c r="D123" i="9"/>
  <c r="E123" i="9" s="1"/>
  <c r="K123" i="9" s="1"/>
  <c r="H123" i="9"/>
  <c r="G123" i="9"/>
  <c r="D124" i="9"/>
  <c r="E124" i="9" s="1"/>
  <c r="K124" i="9" s="1"/>
  <c r="H124" i="9"/>
  <c r="G124" i="9"/>
  <c r="D125" i="9"/>
  <c r="E125" i="9" s="1"/>
  <c r="H125" i="9"/>
  <c r="G125" i="9"/>
  <c r="D126" i="9"/>
  <c r="E126" i="9" s="1"/>
  <c r="H126" i="9"/>
  <c r="G126" i="9"/>
  <c r="D127" i="9"/>
  <c r="E127" i="9" s="1"/>
  <c r="H127" i="9"/>
  <c r="G127" i="9"/>
  <c r="D128" i="9"/>
  <c r="E128" i="9" s="1"/>
  <c r="H128" i="9"/>
  <c r="G128" i="9"/>
  <c r="D129" i="9"/>
  <c r="E129" i="9" s="1"/>
  <c r="H129" i="9"/>
  <c r="G129" i="9"/>
  <c r="D130" i="9"/>
  <c r="E130" i="9" s="1"/>
  <c r="K130" i="9" s="1"/>
  <c r="H130" i="9"/>
  <c r="G130" i="9"/>
  <c r="D131" i="9"/>
  <c r="E131" i="9" s="1"/>
  <c r="K131" i="9" s="1"/>
  <c r="H131" i="9"/>
  <c r="G131" i="9"/>
  <c r="D132" i="9"/>
  <c r="E132" i="9" s="1"/>
  <c r="K132" i="9" s="1"/>
  <c r="H132" i="9"/>
  <c r="G132" i="9"/>
  <c r="D133" i="9"/>
  <c r="E133" i="9" s="1"/>
  <c r="K133" i="9" s="1"/>
  <c r="H133" i="9"/>
  <c r="G133" i="9"/>
  <c r="D134" i="9"/>
  <c r="E134" i="9" s="1"/>
  <c r="K134" i="9" s="1"/>
  <c r="H134" i="9"/>
  <c r="G134" i="9"/>
  <c r="D135" i="9"/>
  <c r="E135" i="9" s="1"/>
  <c r="K135" i="9" s="1"/>
  <c r="H135" i="9"/>
  <c r="G135" i="9"/>
  <c r="D136" i="9"/>
  <c r="E136" i="9" s="1"/>
  <c r="K136" i="9" s="1"/>
  <c r="H136" i="9"/>
  <c r="G136" i="9"/>
  <c r="D137" i="9"/>
  <c r="E137" i="9" s="1"/>
  <c r="K137" i="9" s="1"/>
  <c r="H137" i="9"/>
  <c r="G137" i="9"/>
  <c r="D138" i="9"/>
  <c r="E138" i="9" s="1"/>
  <c r="L138" i="9" s="1"/>
  <c r="H138" i="9"/>
  <c r="G138" i="9"/>
  <c r="D139" i="9"/>
  <c r="E139" i="9" s="1"/>
  <c r="L139" i="9" s="1"/>
  <c r="H139" i="9"/>
  <c r="G139" i="9"/>
  <c r="D140" i="9"/>
  <c r="E140" i="9" s="1"/>
  <c r="L140" i="9" s="1"/>
  <c r="H140" i="9"/>
  <c r="G140" i="9"/>
  <c r="D141" i="9"/>
  <c r="E141" i="9" s="1"/>
  <c r="L141" i="9" s="1"/>
  <c r="H141" i="9"/>
  <c r="G141" i="9"/>
  <c r="D142" i="9"/>
  <c r="E142" i="9" s="1"/>
  <c r="K142" i="9" s="1"/>
  <c r="H142" i="9"/>
  <c r="G142" i="9"/>
  <c r="D143" i="9"/>
  <c r="E143" i="9" s="1"/>
  <c r="K143" i="9" s="1"/>
  <c r="H143" i="9"/>
  <c r="G143" i="9"/>
  <c r="D144" i="9"/>
  <c r="E144" i="9" s="1"/>
  <c r="K144" i="9" s="1"/>
  <c r="H144" i="9"/>
  <c r="G144" i="9"/>
  <c r="D145" i="9"/>
  <c r="E145" i="9" s="1"/>
  <c r="K145" i="9" s="1"/>
  <c r="H145" i="9"/>
  <c r="G145" i="9"/>
  <c r="D146" i="9"/>
  <c r="E146" i="9" s="1"/>
  <c r="K146" i="9" s="1"/>
  <c r="H146" i="9"/>
  <c r="G146" i="9"/>
  <c r="D147" i="9"/>
  <c r="E147" i="9" s="1"/>
  <c r="K147" i="9" s="1"/>
  <c r="H147" i="9"/>
  <c r="G147" i="9"/>
  <c r="D148" i="9"/>
  <c r="E148" i="9" s="1"/>
  <c r="K148" i="9" s="1"/>
  <c r="H148" i="9"/>
  <c r="G148" i="9"/>
  <c r="D149" i="9"/>
  <c r="E149" i="9" s="1"/>
  <c r="K149" i="9" s="1"/>
  <c r="H149" i="9"/>
  <c r="G149" i="9"/>
  <c r="D150" i="9"/>
  <c r="E150" i="9" s="1"/>
  <c r="K150" i="9" s="1"/>
  <c r="H150" i="9"/>
  <c r="G150" i="9"/>
  <c r="D151" i="9"/>
  <c r="E151" i="9" s="1"/>
  <c r="K151" i="9" s="1"/>
  <c r="H151" i="9"/>
  <c r="G151" i="9"/>
  <c r="D152" i="9"/>
  <c r="E152" i="9" s="1"/>
  <c r="L152" i="9" s="1"/>
  <c r="H152" i="9"/>
  <c r="G152" i="9"/>
  <c r="D153" i="9"/>
  <c r="E153" i="9" s="1"/>
  <c r="K153" i="9" s="1"/>
  <c r="H153" i="9"/>
  <c r="G153" i="9"/>
  <c r="D154" i="9"/>
  <c r="E154" i="9" s="1"/>
  <c r="K154" i="9" s="1"/>
  <c r="H154" i="9"/>
  <c r="G154" i="9"/>
  <c r="D155" i="9"/>
  <c r="E155" i="9" s="1"/>
  <c r="K155" i="9" s="1"/>
  <c r="H155" i="9"/>
  <c r="G155" i="9"/>
  <c r="D156" i="9"/>
  <c r="E156" i="9" s="1"/>
  <c r="K156" i="9" s="1"/>
  <c r="H156" i="9"/>
  <c r="G156" i="9"/>
  <c r="D157" i="9"/>
  <c r="E157" i="9" s="1"/>
  <c r="K157" i="9" s="1"/>
  <c r="H157" i="9"/>
  <c r="G157" i="9"/>
  <c r="D158" i="9"/>
  <c r="E158" i="9" s="1"/>
  <c r="K158" i="9" s="1"/>
  <c r="H158" i="9"/>
  <c r="G158" i="9"/>
  <c r="D159" i="9"/>
  <c r="E159" i="9" s="1"/>
  <c r="K159" i="9" s="1"/>
  <c r="H159" i="9"/>
  <c r="G159" i="9"/>
  <c r="D160" i="9"/>
  <c r="E160" i="9" s="1"/>
  <c r="K160" i="9" s="1"/>
  <c r="H160" i="9"/>
  <c r="G160" i="9"/>
  <c r="D161" i="9"/>
  <c r="E161" i="9" s="1"/>
  <c r="K161" i="9" s="1"/>
  <c r="H161" i="9"/>
  <c r="G161" i="9"/>
  <c r="D162" i="9"/>
  <c r="E162" i="9" s="1"/>
  <c r="K162" i="9" s="1"/>
  <c r="H162" i="9"/>
  <c r="G162" i="9"/>
  <c r="D163" i="9"/>
  <c r="E163" i="9" s="1"/>
  <c r="K163" i="9" s="1"/>
  <c r="H163" i="9"/>
  <c r="G163" i="9"/>
  <c r="D164" i="9"/>
  <c r="E164" i="9" s="1"/>
  <c r="K164" i="9" s="1"/>
  <c r="H164" i="9"/>
  <c r="G164" i="9"/>
  <c r="D165" i="9"/>
  <c r="E165" i="9" s="1"/>
  <c r="K165" i="9" s="1"/>
  <c r="H165" i="9"/>
  <c r="G165" i="9"/>
  <c r="D166" i="9"/>
  <c r="E166" i="9" s="1"/>
  <c r="K166" i="9" s="1"/>
  <c r="H166" i="9"/>
  <c r="G166" i="9"/>
  <c r="D167" i="9"/>
  <c r="E167" i="9" s="1"/>
  <c r="K167" i="9" s="1"/>
  <c r="H167" i="9"/>
  <c r="G167" i="9"/>
  <c r="D168" i="9"/>
  <c r="E168" i="9" s="1"/>
  <c r="K168" i="9" s="1"/>
  <c r="H168" i="9"/>
  <c r="G168" i="9"/>
  <c r="D169" i="9"/>
  <c r="E169" i="9" s="1"/>
  <c r="K169" i="9" s="1"/>
  <c r="H169" i="9"/>
  <c r="G169" i="9"/>
  <c r="D170" i="9"/>
  <c r="E170" i="9" s="1"/>
  <c r="K170" i="9" s="1"/>
  <c r="H170" i="9"/>
  <c r="G170" i="9"/>
  <c r="D171" i="9"/>
  <c r="E171" i="9" s="1"/>
  <c r="K171" i="9" s="1"/>
  <c r="H171" i="9"/>
  <c r="G171" i="9"/>
  <c r="D172" i="9"/>
  <c r="E172" i="9" s="1"/>
  <c r="K172" i="9" s="1"/>
  <c r="H172" i="9"/>
  <c r="G172" i="9"/>
  <c r="D173" i="9"/>
  <c r="E173" i="9" s="1"/>
  <c r="K173" i="9" s="1"/>
  <c r="H173" i="9"/>
  <c r="G173" i="9"/>
  <c r="D174" i="9"/>
  <c r="E174" i="9" s="1"/>
  <c r="K174" i="9" s="1"/>
  <c r="H174" i="9"/>
  <c r="G174" i="9"/>
  <c r="D175" i="9"/>
  <c r="E175" i="9" s="1"/>
  <c r="K175" i="9" s="1"/>
  <c r="H175" i="9"/>
  <c r="G175" i="9"/>
  <c r="D176" i="9"/>
  <c r="E176" i="9" s="1"/>
  <c r="K176" i="9" s="1"/>
  <c r="H176" i="9"/>
  <c r="G176" i="9"/>
  <c r="D177" i="9"/>
  <c r="E177" i="9" s="1"/>
  <c r="K177" i="9" s="1"/>
  <c r="H177" i="9"/>
  <c r="G177" i="9"/>
  <c r="D178" i="9"/>
  <c r="E178" i="9" s="1"/>
  <c r="K178" i="9" s="1"/>
  <c r="H178" i="9"/>
  <c r="G178" i="9"/>
  <c r="D179" i="9"/>
  <c r="E179" i="9" s="1"/>
  <c r="K179" i="9" s="1"/>
  <c r="H179" i="9"/>
  <c r="G179" i="9"/>
  <c r="D180" i="9"/>
  <c r="E180" i="9" s="1"/>
  <c r="K180" i="9" s="1"/>
  <c r="H180" i="9"/>
  <c r="G180" i="9"/>
  <c r="D181" i="9"/>
  <c r="E181" i="9" s="1"/>
  <c r="K181" i="9" s="1"/>
  <c r="H181" i="9"/>
  <c r="G181" i="9"/>
  <c r="D182" i="9"/>
  <c r="E182" i="9" s="1"/>
  <c r="K182" i="9" s="1"/>
  <c r="H182" i="9"/>
  <c r="G182" i="9"/>
  <c r="D183" i="9"/>
  <c r="E183" i="9" s="1"/>
  <c r="K183" i="9" s="1"/>
  <c r="H183" i="9"/>
  <c r="G183" i="9"/>
  <c r="D184" i="9"/>
  <c r="E184" i="9" s="1"/>
  <c r="K184" i="9" s="1"/>
  <c r="H184" i="9"/>
  <c r="G184" i="9"/>
  <c r="D185" i="9"/>
  <c r="E185" i="9" s="1"/>
  <c r="K185" i="9" s="1"/>
  <c r="H185" i="9"/>
  <c r="G185" i="9"/>
  <c r="D186" i="9"/>
  <c r="E186" i="9" s="1"/>
  <c r="K186" i="9" s="1"/>
  <c r="H186" i="9"/>
  <c r="G186" i="9"/>
  <c r="D187" i="9"/>
  <c r="E187" i="9" s="1"/>
  <c r="K187" i="9" s="1"/>
  <c r="H187" i="9"/>
  <c r="G187" i="9"/>
  <c r="D188" i="9"/>
  <c r="E188" i="9" s="1"/>
  <c r="K188" i="9" s="1"/>
  <c r="H188" i="9"/>
  <c r="G188" i="9"/>
  <c r="D189" i="9"/>
  <c r="E189" i="9" s="1"/>
  <c r="K189" i="9" s="1"/>
  <c r="H189" i="9"/>
  <c r="G189" i="9"/>
  <c r="D190" i="9"/>
  <c r="E190" i="9" s="1"/>
  <c r="K190" i="9" s="1"/>
  <c r="H190" i="9"/>
  <c r="G190" i="9"/>
  <c r="D191" i="9"/>
  <c r="E191" i="9" s="1"/>
  <c r="K191" i="9" s="1"/>
  <c r="H191" i="9"/>
  <c r="G191" i="9"/>
  <c r="D4" i="9"/>
  <c r="E4" i="9" s="1"/>
  <c r="K4" i="9" s="1"/>
  <c r="B4" i="9"/>
  <c r="D3" i="9"/>
  <c r="E3" i="9" s="1"/>
  <c r="K3" i="9" s="1"/>
  <c r="B43" i="9"/>
  <c r="N43" i="9" s="1"/>
  <c r="B85" i="9"/>
  <c r="N85" i="9" s="1"/>
  <c r="B45" i="9"/>
  <c r="N45" i="9" s="1"/>
  <c r="B47" i="9"/>
  <c r="N47" i="9" s="1"/>
  <c r="B49" i="9"/>
  <c r="N49" i="9" s="1"/>
  <c r="B51" i="9"/>
  <c r="N51" i="9" s="1"/>
  <c r="B53" i="9"/>
  <c r="N53" i="9" s="1"/>
  <c r="B55" i="9"/>
  <c r="N55" i="9" s="1"/>
  <c r="B57" i="9"/>
  <c r="N57" i="9" s="1"/>
  <c r="B59" i="9"/>
  <c r="N59" i="9" s="1"/>
  <c r="B61" i="9"/>
  <c r="N61" i="9" s="1"/>
  <c r="B63" i="9"/>
  <c r="N63" i="9" s="1"/>
  <c r="B65" i="9"/>
  <c r="N65" i="9" s="1"/>
  <c r="B67" i="9"/>
  <c r="N67" i="9" s="1"/>
  <c r="B69" i="9"/>
  <c r="N69" i="9" s="1"/>
  <c r="B71" i="9"/>
  <c r="N71" i="9" s="1"/>
  <c r="B73" i="9"/>
  <c r="N73" i="9" s="1"/>
  <c r="B75" i="9"/>
  <c r="N75" i="9" s="1"/>
  <c r="B77" i="9"/>
  <c r="N77" i="9" s="1"/>
  <c r="B79" i="9"/>
  <c r="N79" i="9" s="1"/>
  <c r="B81" i="9"/>
  <c r="N81" i="9" s="1"/>
  <c r="B83" i="9"/>
  <c r="N83" i="9" s="1"/>
  <c r="B87" i="9"/>
  <c r="N87" i="9" s="1"/>
  <c r="B89" i="9"/>
  <c r="N89" i="9" s="1"/>
  <c r="B5" i="9"/>
  <c r="N5" i="9" s="1"/>
  <c r="B7" i="9"/>
  <c r="N7" i="9" s="1"/>
  <c r="B9" i="9"/>
  <c r="N9" i="9" s="1"/>
  <c r="B11" i="9"/>
  <c r="N11" i="9" s="1"/>
  <c r="B13" i="9"/>
  <c r="N13" i="9" s="1"/>
  <c r="B15" i="9"/>
  <c r="N15" i="9" s="1"/>
  <c r="B17" i="9"/>
  <c r="N17" i="9" s="1"/>
  <c r="B19" i="9"/>
  <c r="N19" i="9" s="1"/>
  <c r="B21" i="9"/>
  <c r="N21" i="9" s="1"/>
  <c r="B23" i="9"/>
  <c r="N23" i="9" s="1"/>
  <c r="B25" i="9"/>
  <c r="N25" i="9" s="1"/>
  <c r="B27" i="9"/>
  <c r="N27" i="9" s="1"/>
  <c r="B29" i="9"/>
  <c r="N29" i="9" s="1"/>
  <c r="B31" i="9"/>
  <c r="N31" i="9" s="1"/>
  <c r="B33" i="9"/>
  <c r="N33" i="9" s="1"/>
  <c r="B35" i="9"/>
  <c r="N35" i="9" s="1"/>
  <c r="B37" i="9"/>
  <c r="N37" i="9" s="1"/>
  <c r="B39" i="9"/>
  <c r="N39" i="9" s="1"/>
  <c r="B41" i="9"/>
  <c r="N41" i="9" s="1"/>
  <c r="B91" i="9"/>
  <c r="N91" i="9" s="1"/>
  <c r="B93" i="9"/>
  <c r="N93" i="9" s="1"/>
  <c r="B95" i="9"/>
  <c r="N95" i="9" s="1"/>
  <c r="B97" i="9"/>
  <c r="N97" i="9" s="1"/>
  <c r="B99" i="9"/>
  <c r="N99" i="9" s="1"/>
  <c r="B101" i="9"/>
  <c r="N101" i="9" s="1"/>
  <c r="B103" i="9"/>
  <c r="N103" i="9" s="1"/>
  <c r="B105" i="9"/>
  <c r="N105" i="9" s="1"/>
  <c r="B107" i="9"/>
  <c r="N107" i="9" s="1"/>
  <c r="B109" i="9"/>
  <c r="N109" i="9" s="1"/>
  <c r="B111" i="9"/>
  <c r="N111" i="9" s="1"/>
  <c r="B113" i="9"/>
  <c r="N113" i="9" s="1"/>
  <c r="B115" i="9"/>
  <c r="B117" i="9"/>
  <c r="N117" i="9" s="1"/>
  <c r="B119" i="9"/>
  <c r="B121" i="9"/>
  <c r="N121" i="9" s="1"/>
  <c r="B123" i="9"/>
  <c r="B125" i="9"/>
  <c r="N125" i="9" s="1"/>
  <c r="B127" i="9"/>
  <c r="N127" i="9" s="1"/>
  <c r="B129" i="9"/>
  <c r="N129" i="9" s="1"/>
  <c r="B131" i="9"/>
  <c r="B133" i="9"/>
  <c r="N133" i="9" s="1"/>
  <c r="B135" i="9"/>
  <c r="B137" i="9"/>
  <c r="N137" i="9" s="1"/>
  <c r="B139" i="9"/>
  <c r="N139" i="9" s="1"/>
  <c r="B140" i="9"/>
  <c r="N140" i="9" s="1"/>
  <c r="B142" i="9"/>
  <c r="N142" i="9" s="1"/>
  <c r="B144" i="9"/>
  <c r="N144" i="9" s="1"/>
  <c r="B146" i="9"/>
  <c r="N146" i="9" s="1"/>
  <c r="B148" i="9"/>
  <c r="N148" i="9" s="1"/>
  <c r="B150" i="9"/>
  <c r="N150" i="9" s="1"/>
  <c r="B152" i="9"/>
  <c r="N152" i="9" s="1"/>
  <c r="B154" i="9"/>
  <c r="N154" i="9" s="1"/>
  <c r="B156" i="9"/>
  <c r="N156" i="9" s="1"/>
  <c r="B158" i="9"/>
  <c r="N158" i="9" s="1"/>
  <c r="B160" i="9"/>
  <c r="N160" i="9" s="1"/>
  <c r="B162" i="9"/>
  <c r="N162" i="9" s="1"/>
  <c r="B164" i="9"/>
  <c r="N164" i="9" s="1"/>
  <c r="B166" i="9"/>
  <c r="N166" i="9" s="1"/>
  <c r="B168" i="9"/>
  <c r="N168" i="9" s="1"/>
  <c r="B170" i="9"/>
  <c r="N170" i="9" s="1"/>
  <c r="B172" i="9"/>
  <c r="N172" i="9" s="1"/>
  <c r="B174" i="9"/>
  <c r="N174" i="9" s="1"/>
  <c r="B176" i="9"/>
  <c r="N176" i="9" s="1"/>
  <c r="B178" i="9"/>
  <c r="N178" i="9" s="1"/>
  <c r="B180" i="9"/>
  <c r="N180" i="9" s="1"/>
  <c r="B182" i="9"/>
  <c r="N182" i="9" s="1"/>
  <c r="B184" i="9"/>
  <c r="N184" i="9" s="1"/>
  <c r="B186" i="9"/>
  <c r="N186" i="9" s="1"/>
  <c r="B188" i="9"/>
  <c r="N188" i="9" s="1"/>
  <c r="B190" i="9"/>
  <c r="N190" i="9" s="1"/>
  <c r="B192" i="9"/>
  <c r="N192" i="9" s="1"/>
  <c r="B194" i="9"/>
  <c r="N194" i="9" s="1"/>
  <c r="B50" i="9"/>
  <c r="N50" i="9" s="1"/>
  <c r="B54" i="9"/>
  <c r="N54" i="9" s="1"/>
  <c r="B58" i="9"/>
  <c r="N58" i="9" s="1"/>
  <c r="B62" i="9"/>
  <c r="N62" i="9" s="1"/>
  <c r="B66" i="9"/>
  <c r="N66" i="9" s="1"/>
  <c r="B70" i="9"/>
  <c r="N70" i="9" s="1"/>
  <c r="B74" i="9"/>
  <c r="N74" i="9" s="1"/>
  <c r="B78" i="9"/>
  <c r="N78" i="9" s="1"/>
  <c r="B82" i="9"/>
  <c r="N82" i="9" s="1"/>
  <c r="B86" i="9"/>
  <c r="N86" i="9" s="1"/>
  <c r="B90" i="9"/>
  <c r="N90" i="9" s="1"/>
  <c r="B94" i="9"/>
  <c r="N94" i="9" s="1"/>
  <c r="B98" i="9"/>
  <c r="N98" i="9" s="1"/>
  <c r="B102" i="9"/>
  <c r="N102" i="9" s="1"/>
  <c r="B106" i="9"/>
  <c r="N106" i="9" s="1"/>
  <c r="B110" i="9"/>
  <c r="N110" i="9" s="1"/>
  <c r="B114" i="9"/>
  <c r="N114" i="9" s="1"/>
  <c r="B118" i="9"/>
  <c r="N118" i="9" s="1"/>
  <c r="B122" i="9"/>
  <c r="N122" i="9" s="1"/>
  <c r="B126" i="9"/>
  <c r="N126" i="9" s="1"/>
  <c r="B130" i="9"/>
  <c r="N130" i="9" s="1"/>
  <c r="B134" i="9"/>
  <c r="N134" i="9" s="1"/>
  <c r="B138" i="9"/>
  <c r="N138" i="9" s="1"/>
  <c r="B147" i="9"/>
  <c r="B155" i="9"/>
  <c r="N155" i="9" s="1"/>
  <c r="B163" i="9"/>
  <c r="B171" i="9"/>
  <c r="N171" i="9" s="1"/>
  <c r="B179" i="9"/>
  <c r="B187" i="9"/>
  <c r="N187" i="9" s="1"/>
  <c r="B195" i="9"/>
  <c r="N195" i="9" s="1"/>
  <c r="B6" i="9"/>
  <c r="N6" i="9" s="1"/>
  <c r="B8" i="9"/>
  <c r="N8" i="9" s="1"/>
  <c r="B10" i="9"/>
  <c r="N10" i="9" s="1"/>
  <c r="B12" i="9"/>
  <c r="N12" i="9" s="1"/>
  <c r="B14" i="9"/>
  <c r="N14" i="9" s="1"/>
  <c r="B16" i="9"/>
  <c r="N16" i="9" s="1"/>
  <c r="B18" i="9"/>
  <c r="N18" i="9" s="1"/>
  <c r="B20" i="9"/>
  <c r="N20" i="9" s="1"/>
  <c r="B22" i="9"/>
  <c r="N22" i="9" s="1"/>
  <c r="B24" i="9"/>
  <c r="N24" i="9" s="1"/>
  <c r="B26" i="9"/>
  <c r="N26" i="9" s="1"/>
  <c r="B28" i="9"/>
  <c r="N28" i="9" s="1"/>
  <c r="B30" i="9"/>
  <c r="N30" i="9" s="1"/>
  <c r="B32" i="9"/>
  <c r="N32" i="9" s="1"/>
  <c r="B34" i="9"/>
  <c r="N34" i="9" s="1"/>
  <c r="B36" i="9"/>
  <c r="N36" i="9" s="1"/>
  <c r="B38" i="9"/>
  <c r="N38" i="9" s="1"/>
  <c r="B40" i="9"/>
  <c r="N40" i="9" s="1"/>
  <c r="B42" i="9"/>
  <c r="N42" i="9" s="1"/>
  <c r="B44" i="9"/>
  <c r="N44" i="9" s="1"/>
  <c r="B46" i="9"/>
  <c r="N46" i="9" s="1"/>
  <c r="B48" i="9"/>
  <c r="N48" i="9" s="1"/>
  <c r="B52" i="9"/>
  <c r="N52" i="9" s="1"/>
  <c r="B56" i="9"/>
  <c r="N56" i="9" s="1"/>
  <c r="B60" i="9"/>
  <c r="N60" i="9" s="1"/>
  <c r="B64" i="9"/>
  <c r="N64" i="9" s="1"/>
  <c r="B68" i="9"/>
  <c r="N68" i="9" s="1"/>
  <c r="B72" i="9"/>
  <c r="N72" i="9" s="1"/>
  <c r="B76" i="9"/>
  <c r="N76" i="9" s="1"/>
  <c r="B80" i="9"/>
  <c r="N80" i="9" s="1"/>
  <c r="B84" i="9"/>
  <c r="N84" i="9" s="1"/>
  <c r="B88" i="9"/>
  <c r="N88" i="9" s="1"/>
  <c r="B92" i="9"/>
  <c r="N92" i="9" s="1"/>
  <c r="B96" i="9"/>
  <c r="N96" i="9" s="1"/>
  <c r="B100" i="9"/>
  <c r="N100" i="9" s="1"/>
  <c r="B104" i="9"/>
  <c r="N104" i="9" s="1"/>
  <c r="B108" i="9"/>
  <c r="N108" i="9" s="1"/>
  <c r="B112" i="9"/>
  <c r="N112" i="9" s="1"/>
  <c r="B116" i="9"/>
  <c r="N116" i="9" s="1"/>
  <c r="B120" i="9"/>
  <c r="N120" i="9" s="1"/>
  <c r="B124" i="9"/>
  <c r="N124" i="9" s="1"/>
  <c r="B128" i="9"/>
  <c r="N128" i="9" s="1"/>
  <c r="B132" i="9"/>
  <c r="N132" i="9" s="1"/>
  <c r="B136" i="9"/>
  <c r="N136" i="9" s="1"/>
  <c r="B143" i="9"/>
  <c r="N143" i="9" s="1"/>
  <c r="B151" i="9"/>
  <c r="B159" i="9"/>
  <c r="N159" i="9" s="1"/>
  <c r="B167" i="9"/>
  <c r="B175" i="9"/>
  <c r="N175" i="9" s="1"/>
  <c r="B183" i="9"/>
  <c r="B191" i="9"/>
  <c r="N191" i="9" s="1"/>
  <c r="B141" i="9"/>
  <c r="N141" i="9" s="1"/>
  <c r="B145" i="9"/>
  <c r="N145" i="9" s="1"/>
  <c r="B149" i="9"/>
  <c r="B153" i="9"/>
  <c r="N153" i="9" s="1"/>
  <c r="B157" i="9"/>
  <c r="B161" i="9"/>
  <c r="N161" i="9" s="1"/>
  <c r="B165" i="9"/>
  <c r="B169" i="9"/>
  <c r="N169" i="9" s="1"/>
  <c r="B173" i="9"/>
  <c r="B177" i="9"/>
  <c r="N177" i="9" s="1"/>
  <c r="B181" i="9"/>
  <c r="B185" i="9"/>
  <c r="N185" i="9" s="1"/>
  <c r="B189" i="9"/>
  <c r="B193" i="9"/>
  <c r="N193" i="9" s="1"/>
  <c r="N189" i="9" l="1"/>
  <c r="N181" i="9"/>
  <c r="N173" i="9"/>
  <c r="N165" i="9"/>
  <c r="N157" i="9"/>
  <c r="N149" i="9"/>
  <c r="N183" i="9"/>
  <c r="N167" i="9"/>
  <c r="N151" i="9"/>
  <c r="N179" i="9"/>
  <c r="N163" i="9"/>
  <c r="N147" i="9"/>
  <c r="N135" i="9"/>
  <c r="N131" i="9"/>
  <c r="N123" i="9"/>
  <c r="N119" i="9"/>
  <c r="N4" i="9"/>
  <c r="N3" i="9"/>
  <c r="L191" i="9"/>
  <c r="M191" i="9"/>
  <c r="L175" i="9"/>
  <c r="M175" i="9"/>
  <c r="L171" i="9"/>
  <c r="M171" i="9"/>
  <c r="L167" i="9"/>
  <c r="M167" i="9"/>
  <c r="L163" i="9"/>
  <c r="M163" i="9"/>
  <c r="L159" i="9"/>
  <c r="M159" i="9"/>
  <c r="L155" i="9"/>
  <c r="M155" i="9"/>
  <c r="L151" i="9"/>
  <c r="M151" i="9"/>
  <c r="L147" i="9"/>
  <c r="M147" i="9"/>
  <c r="L145" i="9"/>
  <c r="M145" i="9"/>
  <c r="L137" i="9"/>
  <c r="M137" i="9"/>
  <c r="L133" i="9"/>
  <c r="M133" i="9"/>
  <c r="L121" i="9"/>
  <c r="M121" i="9"/>
  <c r="L111" i="9"/>
  <c r="M111" i="9"/>
  <c r="L95" i="9"/>
  <c r="M95" i="9"/>
  <c r="L83" i="9"/>
  <c r="M83" i="9"/>
  <c r="L79" i="9"/>
  <c r="M79" i="9"/>
  <c r="L69" i="9"/>
  <c r="M69" i="9"/>
  <c r="L61" i="9"/>
  <c r="M61" i="9"/>
  <c r="L59" i="9"/>
  <c r="M59" i="9"/>
  <c r="L41" i="9"/>
  <c r="M41" i="9"/>
  <c r="L35" i="9"/>
  <c r="M35" i="9"/>
  <c r="L33" i="9"/>
  <c r="M33" i="9"/>
  <c r="L31" i="9"/>
  <c r="M31" i="9"/>
  <c r="L29" i="9"/>
  <c r="M29" i="9"/>
  <c r="L25" i="9"/>
  <c r="M25" i="9"/>
  <c r="L17" i="9"/>
  <c r="M17" i="9"/>
  <c r="L15" i="9"/>
  <c r="M15" i="9"/>
  <c r="L13" i="9"/>
  <c r="M13" i="9"/>
  <c r="L11" i="9"/>
  <c r="M11" i="9"/>
  <c r="L9" i="9"/>
  <c r="M9" i="9"/>
  <c r="L7" i="9"/>
  <c r="M7" i="9"/>
  <c r="L5" i="9"/>
  <c r="M5" i="9"/>
  <c r="L189" i="9"/>
  <c r="M189" i="9"/>
  <c r="L187" i="9"/>
  <c r="M187" i="9"/>
  <c r="L185" i="9"/>
  <c r="M185" i="9"/>
  <c r="L183" i="9"/>
  <c r="M183" i="9"/>
  <c r="L181" i="9"/>
  <c r="M181" i="9"/>
  <c r="L179" i="9"/>
  <c r="M179" i="9"/>
  <c r="L177" i="9"/>
  <c r="M177" i="9"/>
  <c r="L173" i="9"/>
  <c r="M173" i="9"/>
  <c r="L169" i="9"/>
  <c r="M169" i="9"/>
  <c r="L165" i="9"/>
  <c r="M165" i="9"/>
  <c r="L161" i="9"/>
  <c r="M161" i="9"/>
  <c r="L157" i="9"/>
  <c r="M157" i="9"/>
  <c r="L153" i="9"/>
  <c r="M153" i="9"/>
  <c r="L149" i="9"/>
  <c r="M149" i="9"/>
  <c r="L143" i="9"/>
  <c r="M143" i="9"/>
  <c r="L135" i="9"/>
  <c r="M135" i="9"/>
  <c r="L131" i="9"/>
  <c r="M131" i="9"/>
  <c r="L123" i="9"/>
  <c r="M123" i="9"/>
  <c r="L119" i="9"/>
  <c r="M119" i="9"/>
  <c r="L109" i="9"/>
  <c r="M109" i="9"/>
  <c r="L107" i="9"/>
  <c r="M107" i="9"/>
  <c r="L105" i="9"/>
  <c r="M105" i="9"/>
  <c r="L97" i="9"/>
  <c r="M97" i="9"/>
  <c r="L93" i="9"/>
  <c r="M93" i="9"/>
  <c r="L91" i="9"/>
  <c r="M91" i="9"/>
  <c r="L85" i="9"/>
  <c r="M85" i="9"/>
  <c r="L81" i="9"/>
  <c r="M81" i="9"/>
  <c r="L77" i="9"/>
  <c r="M77" i="9"/>
  <c r="L67" i="9"/>
  <c r="M67" i="9"/>
  <c r="L63" i="9"/>
  <c r="M63" i="9"/>
  <c r="L3" i="9"/>
  <c r="M3" i="9"/>
  <c r="L4" i="9"/>
  <c r="M4" i="9"/>
  <c r="L190" i="9"/>
  <c r="M190" i="9"/>
  <c r="L188" i="9"/>
  <c r="M188" i="9"/>
  <c r="L186" i="9"/>
  <c r="M186" i="9"/>
  <c r="L184" i="9"/>
  <c r="M184" i="9"/>
  <c r="L182" i="9"/>
  <c r="M182" i="9"/>
  <c r="L180" i="9"/>
  <c r="M180" i="9"/>
  <c r="L178" i="9"/>
  <c r="M178" i="9"/>
  <c r="L176" i="9"/>
  <c r="M176" i="9"/>
  <c r="L174" i="9"/>
  <c r="M174" i="9"/>
  <c r="L172" i="9"/>
  <c r="M172" i="9"/>
  <c r="L170" i="9"/>
  <c r="M170" i="9"/>
  <c r="L168" i="9"/>
  <c r="M168" i="9"/>
  <c r="L166" i="9"/>
  <c r="M166" i="9"/>
  <c r="L164" i="9"/>
  <c r="M164" i="9"/>
  <c r="L162" i="9"/>
  <c r="M162" i="9"/>
  <c r="L160" i="9"/>
  <c r="M160" i="9"/>
  <c r="L158" i="9"/>
  <c r="M158" i="9"/>
  <c r="L156" i="9"/>
  <c r="M156" i="9"/>
  <c r="L154" i="9"/>
  <c r="M154" i="9"/>
  <c r="L150" i="9"/>
  <c r="M150" i="9"/>
  <c r="L148" i="9"/>
  <c r="M148" i="9"/>
  <c r="L146" i="9"/>
  <c r="M146" i="9"/>
  <c r="L144" i="9"/>
  <c r="M144" i="9"/>
  <c r="L142" i="9"/>
  <c r="M142" i="9"/>
  <c r="L136" i="9"/>
  <c r="M136" i="9"/>
  <c r="L134" i="9"/>
  <c r="M134" i="9"/>
  <c r="L132" i="9"/>
  <c r="M132" i="9"/>
  <c r="L130" i="9"/>
  <c r="M130" i="9"/>
  <c r="L124" i="9"/>
  <c r="M124" i="9"/>
  <c r="L122" i="9"/>
  <c r="M122" i="9"/>
  <c r="L120" i="9"/>
  <c r="M120" i="9"/>
  <c r="L118" i="9"/>
  <c r="M118" i="9"/>
  <c r="L110" i="9"/>
  <c r="M110" i="9"/>
  <c r="L108" i="9"/>
  <c r="M108" i="9"/>
  <c r="L106" i="9"/>
  <c r="M106" i="9"/>
  <c r="L104" i="9"/>
  <c r="M104" i="9"/>
  <c r="L96" i="9"/>
  <c r="M96" i="9"/>
  <c r="L94" i="9"/>
  <c r="M94" i="9"/>
  <c r="L92" i="9"/>
  <c r="M92" i="9"/>
  <c r="L84" i="9"/>
  <c r="M84" i="9"/>
  <c r="L82" i="9"/>
  <c r="M82" i="9"/>
  <c r="L80" i="9"/>
  <c r="M80" i="9"/>
  <c r="L70" i="9"/>
  <c r="M70" i="9"/>
  <c r="L68" i="9"/>
  <c r="M68" i="9"/>
  <c r="L64" i="9"/>
  <c r="M64" i="9"/>
  <c r="L62" i="9"/>
  <c r="M62" i="9"/>
  <c r="L60" i="9"/>
  <c r="M60" i="9"/>
  <c r="L40" i="9"/>
  <c r="M40" i="9"/>
  <c r="L38" i="9"/>
  <c r="M38" i="9"/>
  <c r="L34" i="9"/>
  <c r="M34" i="9"/>
  <c r="L32" i="9"/>
  <c r="M32" i="9"/>
  <c r="L30" i="9"/>
  <c r="M30" i="9"/>
  <c r="L28" i="9"/>
  <c r="M28" i="9"/>
  <c r="L18" i="9"/>
  <c r="M18" i="9"/>
  <c r="L16" i="9"/>
  <c r="M16" i="9"/>
  <c r="L14" i="9"/>
  <c r="M14" i="9"/>
  <c r="L12" i="9"/>
  <c r="M12" i="9"/>
  <c r="L10" i="9"/>
  <c r="M10" i="9"/>
  <c r="L8" i="9"/>
  <c r="M8" i="9"/>
  <c r="L6" i="9"/>
  <c r="M6" i="9"/>
  <c r="K115" i="9"/>
  <c r="N115" i="9"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L115" i="9" l="1"/>
  <c r="M115" i="9"/>
</calcChain>
</file>

<file path=xl/sharedStrings.xml><?xml version="1.0" encoding="utf-8"?>
<sst xmlns="http://schemas.openxmlformats.org/spreadsheetml/2006/main" count="5067" uniqueCount="1706">
  <si>
    <t>Specials</t>
  </si>
  <si>
    <t xml:space="preserve">Name </t>
  </si>
  <si>
    <t xml:space="preserve">Originally Aired </t>
  </si>
  <si>
    <t xml:space="preserve">Revisited - Sunderland: The Former Electricity Sub-Station </t>
  </si>
  <si>
    <t xml:space="preserve">03/22/2003 </t>
  </si>
  <si>
    <t xml:space="preserve">Revisited - Tuscany: The Tuscan Castle </t>
  </si>
  <si>
    <t xml:space="preserve">10/13/2004 </t>
  </si>
  <si>
    <t xml:space="preserve">Revisited - Puglia: Masseria Impisi, An Artists Retreat </t>
  </si>
  <si>
    <t xml:space="preserve">02/27/2008 </t>
  </si>
  <si>
    <t xml:space="preserve">Revisited - Lot: House From Straw </t>
  </si>
  <si>
    <t xml:space="preserve">The Great British Property Scandal Special: Kevin's Grand Design Part 1 </t>
  </si>
  <si>
    <t xml:space="preserve">The Great British Property Scandal Special: Kevin's Grand Design Part 2 </t>
  </si>
  <si>
    <t xml:space="preserve">12/15/2011 </t>
  </si>
  <si>
    <t xml:space="preserve">Revisited: Malaga, Spain: Modernist Villa </t>
  </si>
  <si>
    <t>Season 1</t>
  </si>
  <si>
    <t xml:space="preserve">Newhaven: The Timber Frame Kit House </t>
  </si>
  <si>
    <t xml:space="preserve">04/29/1999 </t>
  </si>
  <si>
    <t xml:space="preserve">Berkshire: English Barn </t>
  </si>
  <si>
    <t xml:space="preserve">Brighton: The Co-Operative Build </t>
  </si>
  <si>
    <t xml:space="preserve">05/13/1999 </t>
  </si>
  <si>
    <t xml:space="preserve">Amersham: The Water Tower </t>
  </si>
  <si>
    <t xml:space="preserve">05/20/1999 </t>
  </si>
  <si>
    <t xml:space="preserve">Suffolk: The Eco-House </t>
  </si>
  <si>
    <t xml:space="preserve">Cornwall: The Chapel </t>
  </si>
  <si>
    <t xml:space="preserve">Islington: The House of Straw </t>
  </si>
  <si>
    <t xml:space="preserve">06/17/1999 </t>
  </si>
  <si>
    <t xml:space="preserve">Doncaster: The Glass House </t>
  </si>
  <si>
    <t xml:space="preserve">06/24/1999 </t>
  </si>
  <si>
    <t xml:space="preserve">Revisited - Doncaster: The Glass House </t>
  </si>
  <si>
    <t xml:space="preserve">Revisited - Suffolk: The Eco-House </t>
  </si>
  <si>
    <t xml:space="preserve">11/15/2001 </t>
  </si>
  <si>
    <t xml:space="preserve">Revisited - Islington: The House of Straw </t>
  </si>
  <si>
    <t xml:space="preserve">11/22/2001 </t>
  </si>
  <si>
    <t xml:space="preserve">Revisited - Brighton: The Co-Operative Build </t>
  </si>
  <si>
    <t xml:space="preserve">Revisited - Amersham: The Water Tower </t>
  </si>
  <si>
    <t xml:space="preserve">09/24/2002 </t>
  </si>
  <si>
    <t xml:space="preserve">Revisited (2) - Islington: The House of Straw </t>
  </si>
  <si>
    <t xml:space="preserve">10/15/2003 </t>
  </si>
  <si>
    <t xml:space="preserve">Revisited - Berkshire: English Barn </t>
  </si>
  <si>
    <t xml:space="preserve">10/29/2003 </t>
  </si>
  <si>
    <t xml:space="preserve">Revisited (2) - Amersham: The Water Tower </t>
  </si>
  <si>
    <t xml:space="preserve">Revisited (2) - Brighton: The Co-Operative Build </t>
  </si>
  <si>
    <t>Season 2</t>
  </si>
  <si>
    <t xml:space="preserve">Farnham: The Regency Villa </t>
  </si>
  <si>
    <t xml:space="preserve">07/17/2001 </t>
  </si>
  <si>
    <t xml:space="preserve">Sussex: The New England House </t>
  </si>
  <si>
    <t xml:space="preserve">07/24/2001 </t>
  </si>
  <si>
    <t xml:space="preserve">Huddersfield: The Wool Mill </t>
  </si>
  <si>
    <t xml:space="preserve">07/31/2001 </t>
  </si>
  <si>
    <t xml:space="preserve">Wales: The Isolated Cottage </t>
  </si>
  <si>
    <t xml:space="preserve">Lambourn: The Cruciform House </t>
  </si>
  <si>
    <t xml:space="preserve">08/14/2001 </t>
  </si>
  <si>
    <t xml:space="preserve">Birmingham: The Community Self-Build </t>
  </si>
  <si>
    <t xml:space="preserve">08/21/2001 </t>
  </si>
  <si>
    <t xml:space="preserve">London: The Jewel Box </t>
  </si>
  <si>
    <t xml:space="preserve">Devon: The Derelict Barns </t>
  </si>
  <si>
    <t xml:space="preserve">Revisited - Birmingham: The Community Self-Build </t>
  </si>
  <si>
    <t xml:space="preserve">11/29/2001 </t>
  </si>
  <si>
    <t xml:space="preserve">Revisited - Wales: The Isolated Cottage </t>
  </si>
  <si>
    <t xml:space="preserve">Revisited - Devon: The Derelict Barns </t>
  </si>
  <si>
    <t xml:space="preserve">Revisited - Lambourn: The Cruciform House </t>
  </si>
  <si>
    <t>Season 3</t>
  </si>
  <si>
    <t xml:space="preserve">Peterborough: The Wooden Box </t>
  </si>
  <si>
    <t xml:space="preserve">Chesterfield: The Water-Works </t>
  </si>
  <si>
    <t xml:space="preserve">02/19/2003 </t>
  </si>
  <si>
    <t xml:space="preserve">Sussex: The Woodsmans Cottage </t>
  </si>
  <si>
    <t xml:space="preserve">02/26/2003 </t>
  </si>
  <si>
    <t xml:space="preserve">Surrey: The Victorian Threshing Barn </t>
  </si>
  <si>
    <t xml:space="preserve">Buckinghamshire: The Inverted-Roof House </t>
  </si>
  <si>
    <t xml:space="preserve">Hackney: The Terrace Conversion </t>
  </si>
  <si>
    <t xml:space="preserve">09/17/2003 </t>
  </si>
  <si>
    <t xml:space="preserve">Cumbria: The Underground House </t>
  </si>
  <si>
    <t xml:space="preserve">09/24/2003 </t>
  </si>
  <si>
    <t xml:space="preserve">Hereford: The Traditional Cottage </t>
  </si>
  <si>
    <t xml:space="preserve">Revisited - Buckinghamshire: The Inverted-Roof House </t>
  </si>
  <si>
    <t xml:space="preserve">Revisited - Hackney: The Terrace Conversion </t>
  </si>
  <si>
    <t xml:space="preserve">Revisited - Sussex: The Woodsmans Cottage </t>
  </si>
  <si>
    <t xml:space="preserve">10/26/2005 </t>
  </si>
  <si>
    <t xml:space="preserve">Revisited - Peterborough: The Wooden Box </t>
  </si>
  <si>
    <t xml:space="preserve">Revisited - Surrey: The Victorian Threshing Barn </t>
  </si>
  <si>
    <t xml:space="preserve">03/19/2008 </t>
  </si>
  <si>
    <t xml:space="preserve">Revisited - Cumbria: The Underground House </t>
  </si>
  <si>
    <t xml:space="preserve">03/26/2008 </t>
  </si>
  <si>
    <t xml:space="preserve">Revisited (2) - Sussex: The Woodsmans Cottage </t>
  </si>
  <si>
    <t xml:space="preserve">04/29/2009 </t>
  </si>
  <si>
    <t>Season 4</t>
  </si>
  <si>
    <t xml:space="preserve">Waterloo: The Violin Factory </t>
  </si>
  <si>
    <t xml:space="preserve">01/21/2004 </t>
  </si>
  <si>
    <t xml:space="preserve">Walton: The German Huf Haus </t>
  </si>
  <si>
    <t xml:space="preserve">01/28/2004 </t>
  </si>
  <si>
    <t xml:space="preserve">Edinburgh: 19th Century Sandstone House </t>
  </si>
  <si>
    <t xml:space="preserve">02/18/2004 </t>
  </si>
  <si>
    <t xml:space="preserve">Clapham: The Curved House </t>
  </si>
  <si>
    <t xml:space="preserve">02/25/2004 </t>
  </si>
  <si>
    <t xml:space="preserve">Sussex: The Modernist Sugar Cube </t>
  </si>
  <si>
    <t xml:space="preserve">Argyll: The Oak-Framed House </t>
  </si>
  <si>
    <t xml:space="preserve">Dorset: An Idiosyncratic Home </t>
  </si>
  <si>
    <t xml:space="preserve">Revisited - Edinburgh: 19th Century Sandstone House </t>
  </si>
  <si>
    <t xml:space="preserve">Revisited - Waterloo: The Violin Factory </t>
  </si>
  <si>
    <t xml:space="preserve">10/13/2005 </t>
  </si>
  <si>
    <t xml:space="preserve">Revisited - Clapham: The Curved House </t>
  </si>
  <si>
    <t xml:space="preserve">11/23/2005 </t>
  </si>
  <si>
    <t xml:space="preserve">Revisited - Walton: The German Huf Haus </t>
  </si>
  <si>
    <t xml:space="preserve">Revisited - Argyll: The Oak-Framed House </t>
  </si>
  <si>
    <t xml:space="preserve">04/25/2007 </t>
  </si>
  <si>
    <t>Season 5</t>
  </si>
  <si>
    <t xml:space="preserve">Peckham: The Sliding Glass Roof House </t>
  </si>
  <si>
    <t xml:space="preserve">04/13/2005 </t>
  </si>
  <si>
    <t xml:space="preserve">Gloucester: The 16th Century Farmhouse </t>
  </si>
  <si>
    <t xml:space="preserve">04/20/2005 </t>
  </si>
  <si>
    <t xml:space="preserve">Kent: Finnish Log Cabin </t>
  </si>
  <si>
    <t xml:space="preserve">04/27/2005 </t>
  </si>
  <si>
    <t xml:space="preserve">Devon: Shaped Like a Curvy Seashell </t>
  </si>
  <si>
    <t xml:space="preserve">10/19/2005 </t>
  </si>
  <si>
    <t xml:space="preserve">Belfast: A 21st Century Answer to the Roman Villa </t>
  </si>
  <si>
    <t xml:space="preserve">Devon: Miami Style Beach House </t>
  </si>
  <si>
    <t xml:space="preserve">Carmarthen: The Eco-House </t>
  </si>
  <si>
    <t xml:space="preserve">11/16/2005 </t>
  </si>
  <si>
    <t xml:space="preserve">Revisited - Carmarthen: The Eco-House </t>
  </si>
  <si>
    <t xml:space="preserve">03/28/2007 </t>
  </si>
  <si>
    <t xml:space="preserve">Revisited - Peckham: The Sliding Glass Roof House </t>
  </si>
  <si>
    <t xml:space="preserve">04/18/2007 </t>
  </si>
  <si>
    <t xml:space="preserve">Revisited - Belfast: A 21st Century Answer to the Roman Villa </t>
  </si>
  <si>
    <t xml:space="preserve">11/24/2010 </t>
  </si>
  <si>
    <t>Season 6</t>
  </si>
  <si>
    <t xml:space="preserve">Killearn: The Loch House </t>
  </si>
  <si>
    <t xml:space="preserve">Ross-On-Wye: The Contemporary Barn Conversion </t>
  </si>
  <si>
    <t xml:space="preserve">Stirling: The Contemporary Cedar Clad Home </t>
  </si>
  <si>
    <t xml:space="preserve">04/19/2006 </t>
  </si>
  <si>
    <t xml:space="preserve">Ashford: Water Tower Conversion </t>
  </si>
  <si>
    <t xml:space="preserve">04/26/2006 </t>
  </si>
  <si>
    <t xml:space="preserve">Exeter: Split Personality House </t>
  </si>
  <si>
    <t xml:space="preserve">05/17/2006 </t>
  </si>
  <si>
    <t xml:space="preserve">Revisited - Killearn: Loch House </t>
  </si>
  <si>
    <t xml:space="preserve">04/22/2009 </t>
  </si>
  <si>
    <t xml:space="preserve">Revisited - Ashford: Water Tower Conversion </t>
  </si>
  <si>
    <t xml:space="preserve">11/16/2011 </t>
  </si>
  <si>
    <t>Season 7</t>
  </si>
  <si>
    <t xml:space="preserve">Yorkshire: The 14th Century Castle </t>
  </si>
  <si>
    <t xml:space="preserve">02/28/2007 </t>
  </si>
  <si>
    <t xml:space="preserve">Hampshire: The Thatched Cottage </t>
  </si>
  <si>
    <t xml:space="preserve">Medway: The Eco-Barge </t>
  </si>
  <si>
    <t xml:space="preserve">03/14/2007 </t>
  </si>
  <si>
    <t xml:space="preserve">Bournemouth: The Bournemouth Penthouse </t>
  </si>
  <si>
    <t xml:space="preserve">03/21/2007 </t>
  </si>
  <si>
    <t xml:space="preserve">Birmingham: The Birmingham Church </t>
  </si>
  <si>
    <t xml:space="preserve">Guildford: The Art Deco House </t>
  </si>
  <si>
    <t xml:space="preserve">Cambridge: The Cambridgeshire Eco Home </t>
  </si>
  <si>
    <t xml:space="preserve">London: The Glass and Timber House </t>
  </si>
  <si>
    <t xml:space="preserve">05/16/2007 </t>
  </si>
  <si>
    <t xml:space="preserve">Revisited - Yorkshire: The 14th Century Castle </t>
  </si>
  <si>
    <t xml:space="preserve">03/18/2009 </t>
  </si>
  <si>
    <t xml:space="preserve">Revisited - Cambridge: The Cambridgeshire Eco Home </t>
  </si>
  <si>
    <t xml:space="preserve">03/25/2009 </t>
  </si>
  <si>
    <t xml:space="preserve">Revisited - Hampshire: The Thatched Cottage </t>
  </si>
  <si>
    <t xml:space="preserve">04/15/2009 </t>
  </si>
  <si>
    <t xml:space="preserve">Revisited - London: The Glass and Timber House </t>
  </si>
  <si>
    <t xml:space="preserve">11/17/2010 </t>
  </si>
  <si>
    <t>Season 8</t>
  </si>
  <si>
    <t xml:space="preserve">Cheltenham: The Underground House </t>
  </si>
  <si>
    <t xml:space="preserve">01/16/2008 </t>
  </si>
  <si>
    <t xml:space="preserve">Oxford: The Decagon House </t>
  </si>
  <si>
    <t xml:space="preserve">01/23/2008 </t>
  </si>
  <si>
    <t xml:space="preserve">Bristol: The Modernist Sugar Cube </t>
  </si>
  <si>
    <t xml:space="preserve">01/30/2008 </t>
  </si>
  <si>
    <t xml:space="preserve">Monmouth: The Gothic House </t>
  </si>
  <si>
    <t xml:space="preserve">Midlothian: The Lime Kiln House </t>
  </si>
  <si>
    <t xml:space="preserve">02/13/2008 </t>
  </si>
  <si>
    <t xml:space="preserve">Bath: The Bath Kit House </t>
  </si>
  <si>
    <t xml:space="preserve">02/20/2008 </t>
  </si>
  <si>
    <t xml:space="preserve">Maidstone: The Hi Tech Bungalow </t>
  </si>
  <si>
    <t xml:space="preserve">Revisited - Midlothian: The Lime Kiln House </t>
  </si>
  <si>
    <t xml:space="preserve">12/15/2010 </t>
  </si>
  <si>
    <t>Season 9</t>
  </si>
  <si>
    <t xml:space="preserve">Somerset: The Apprentice Store </t>
  </si>
  <si>
    <t xml:space="preserve">01/28/2009 </t>
  </si>
  <si>
    <t xml:space="preserve">Oxfordshire: The Chilterns Water Mill </t>
  </si>
  <si>
    <t xml:space="preserve">Newport: Folly </t>
  </si>
  <si>
    <t xml:space="preserve">Weald of Kent: Arched Eco House </t>
  </si>
  <si>
    <t xml:space="preserve">02/18/2009 </t>
  </si>
  <si>
    <t xml:space="preserve">Brittany: Groundhouse </t>
  </si>
  <si>
    <t xml:space="preserve">02/25/2009 </t>
  </si>
  <si>
    <t xml:space="preserve">Marlborough: 21st Century Farmhouse </t>
  </si>
  <si>
    <t xml:space="preserve">Headcorn: Modular House </t>
  </si>
  <si>
    <t xml:space="preserve">Brighton: Ultra Contemporary Mansion </t>
  </si>
  <si>
    <t xml:space="preserve">Revisited - Brittany: Groundhouse </t>
  </si>
  <si>
    <t xml:space="preserve">Revisited - Weald of Kent: Arched Eco House </t>
  </si>
  <si>
    <t xml:space="preserve">Revisited - The Headcorn: Modular House </t>
  </si>
  <si>
    <t xml:space="preserve">11/30/2011 </t>
  </si>
  <si>
    <t>Season 10</t>
  </si>
  <si>
    <t xml:space="preserve">Isle of Wight: The Tree House </t>
  </si>
  <si>
    <t xml:space="preserve">09/15/2010 </t>
  </si>
  <si>
    <t xml:space="preserve">Cotswold: The Stealth House </t>
  </si>
  <si>
    <t xml:space="preserve">09/22/2010 </t>
  </si>
  <si>
    <t xml:space="preserve">Woodbridge: The Modest Home </t>
  </si>
  <si>
    <t xml:space="preserve">09/29/2010 </t>
  </si>
  <si>
    <t xml:space="preserve">Stowmarket: The Tudor Guildhall </t>
  </si>
  <si>
    <t xml:space="preserve">Ipswich: The Radian House </t>
  </si>
  <si>
    <t xml:space="preserve">10/13/2010 </t>
  </si>
  <si>
    <t xml:space="preserve">Lizard Peninsular: The Scandinavian House </t>
  </si>
  <si>
    <t xml:space="preserve">10/20/2010 </t>
  </si>
  <si>
    <t xml:space="preserve">West Cumbria: The Adaptahaus </t>
  </si>
  <si>
    <t xml:space="preserve">10/27/2010 </t>
  </si>
  <si>
    <t xml:space="preserve">Lake District: The Dome House </t>
  </si>
  <si>
    <t xml:space="preserve">Revisited - Lake District: The Dome House </t>
  </si>
  <si>
    <t xml:space="preserve">Revisited - West Cumbria: The Adaptahaus </t>
  </si>
  <si>
    <t xml:space="preserve">11/23/2011 </t>
  </si>
  <si>
    <t xml:space="preserve">Revisited - Isle of Wight: The Tree House </t>
  </si>
  <si>
    <t xml:space="preserve">11/14/2012 </t>
  </si>
  <si>
    <t xml:space="preserve">Revisited: Woodbridge: The Modest Home </t>
  </si>
  <si>
    <t xml:space="preserve">11/13/2013 </t>
  </si>
  <si>
    <t>Season 11</t>
  </si>
  <si>
    <t xml:space="preserve">Morpeth: The Derelict Mill Cottage </t>
  </si>
  <si>
    <t xml:space="preserve">09/14/2011 </t>
  </si>
  <si>
    <t xml:space="preserve">London: The Contemporary Mansion </t>
  </si>
  <si>
    <t xml:space="preserve">09/21/2011 </t>
  </si>
  <si>
    <t xml:space="preserve">Tenby: The Lifeboat Station </t>
  </si>
  <si>
    <t xml:space="preserve">09/28/2011 </t>
  </si>
  <si>
    <t xml:space="preserve">Essex: The Large Timber-framed Barn </t>
  </si>
  <si>
    <t xml:space="preserve">Herefordshire: The Recycled Timber-framed House </t>
  </si>
  <si>
    <t xml:space="preserve">Cornwall: The Dilapidated Engine House </t>
  </si>
  <si>
    <t xml:space="preserve">10/19/2011 </t>
  </si>
  <si>
    <t xml:space="preserve">London: The Disco Home </t>
  </si>
  <si>
    <t xml:space="preserve">10/26/2011 </t>
  </si>
  <si>
    <t xml:space="preserve">Revisited - London: The Disco Home </t>
  </si>
  <si>
    <t xml:space="preserve">11/21/2012 </t>
  </si>
  <si>
    <t xml:space="preserve">Revisited - Essex: The Large Timber-framed Barn </t>
  </si>
  <si>
    <t xml:space="preserve">11/28/2012 </t>
  </si>
  <si>
    <t>Season 12</t>
  </si>
  <si>
    <t xml:space="preserve">Roscommon, Ireland: Cloontykilla Castle </t>
  </si>
  <si>
    <t xml:space="preserve">Hertfordshire: The Computer-cut House </t>
  </si>
  <si>
    <t xml:space="preserve">09/19/2012 </t>
  </si>
  <si>
    <t xml:space="preserve">Brixton: The Glass Cubes House </t>
  </si>
  <si>
    <t xml:space="preserve">09/26/2012 </t>
  </si>
  <si>
    <t xml:space="preserve">Oxfordshire: The Thames Boathouse </t>
  </si>
  <si>
    <t xml:space="preserve">London: The Derelict Water Tower </t>
  </si>
  <si>
    <t xml:space="preserve">10/17/2012 </t>
  </si>
  <si>
    <t xml:space="preserve">London: The Underground House </t>
  </si>
  <si>
    <t xml:space="preserve">10/24/2012 </t>
  </si>
  <si>
    <t xml:space="preserve">Isle of Skye: The Larch-Clad House </t>
  </si>
  <si>
    <t xml:space="preserve">10/31/2012 </t>
  </si>
  <si>
    <t xml:space="preserve">London: The Joinery Workshop </t>
  </si>
  <si>
    <t>Season 13</t>
  </si>
  <si>
    <t xml:space="preserve">South Yorkshire: The 1920's Cinema </t>
  </si>
  <si>
    <t xml:space="preserve">North London: The Miniature Hollywood Mansion </t>
  </si>
  <si>
    <t xml:space="preserve">York: The Giant Farm Shed </t>
  </si>
  <si>
    <t xml:space="preserve">09/18/2013 </t>
  </si>
  <si>
    <t xml:space="preserve">Tiverton: Crooked Chocolate Box Cottage </t>
  </si>
  <si>
    <t xml:space="preserve">09/25/2013 </t>
  </si>
  <si>
    <t xml:space="preserve">South Lanarkshire: Metal Sculptural Home </t>
  </si>
  <si>
    <t xml:space="preserve">Monmouthshire: Japanese House </t>
  </si>
  <si>
    <t xml:space="preserve">South London: Modernist Masterpiece </t>
  </si>
  <si>
    <t xml:space="preserve">10/16/2013 </t>
  </si>
  <si>
    <t xml:space="preserve">East Devon: Cob Castle </t>
  </si>
  <si>
    <t xml:space="preserve">10/23/2013 </t>
  </si>
  <si>
    <t xml:space="preserve">Newbury: Christmas Farm </t>
  </si>
  <si>
    <t xml:space="preserve">10/30/2013 </t>
  </si>
  <si>
    <t>Season 14</t>
  </si>
  <si>
    <t xml:space="preserve">Gwynedd: The Clifftop House </t>
  </si>
  <si>
    <t xml:space="preserve">Cornwall: The Cross-Laminated Timber House </t>
  </si>
  <si>
    <t xml:space="preserve">Milton Keynes: The Round House </t>
  </si>
  <si>
    <t xml:space="preserve">09/17/2014 </t>
  </si>
  <si>
    <t xml:space="preserve">County Londonderry: The Shipping Containers House </t>
  </si>
  <si>
    <t xml:space="preserve">09/24/2014 </t>
  </si>
  <si>
    <t xml:space="preserve">London: The Urban Shed </t>
  </si>
  <si>
    <t xml:space="preserve">Norfolk: The Periscope House </t>
  </si>
  <si>
    <t xml:space="preserve">Marlow: The Floating House </t>
  </si>
  <si>
    <t xml:space="preserve">10/15/2014 </t>
  </si>
  <si>
    <t xml:space="preserve">Revisited - Creuse, France: The 19th Century Manor House </t>
  </si>
  <si>
    <t xml:space="preserve">10/22/2014 </t>
  </si>
  <si>
    <t xml:space="preserve">Revisited - Monmouthshire: The Japanese House </t>
  </si>
  <si>
    <t xml:space="preserve">10/29/2014 </t>
  </si>
  <si>
    <t xml:space="preserve">Revisited - Devon: The Crooked Chocolate Box Cottage </t>
  </si>
  <si>
    <t>Season 15</t>
  </si>
  <si>
    <t xml:space="preserve">Living in the City </t>
  </si>
  <si>
    <t xml:space="preserve">Living in the Wild </t>
  </si>
  <si>
    <t xml:space="preserve">07/16/2015 </t>
  </si>
  <si>
    <t xml:space="preserve">Living in Suburbia </t>
  </si>
  <si>
    <t xml:space="preserve">07/23/2015 </t>
  </si>
  <si>
    <t xml:space="preserve">Living in the Country </t>
  </si>
  <si>
    <t xml:space="preserve">07/30/2015 </t>
  </si>
  <si>
    <t>Season 16</t>
  </si>
  <si>
    <t xml:space="preserve">West Sussex: The Perfectionist's Bungalow </t>
  </si>
  <si>
    <t xml:space="preserve">East Sussex: The Boat House </t>
  </si>
  <si>
    <t xml:space="preserve">09/16/2015 </t>
  </si>
  <si>
    <t xml:space="preserve">Isle of Wight: The Seaside House </t>
  </si>
  <si>
    <t xml:space="preserve">09/23/2015 </t>
  </si>
  <si>
    <t xml:space="preserve">Worcestershire: The Cave House </t>
  </si>
  <si>
    <t xml:space="preserve">09/30/2015 </t>
  </si>
  <si>
    <t xml:space="preserve">County Antrim: The Blacksmith's House </t>
  </si>
  <si>
    <t xml:space="preserve">Somerset: The Concrete Cow-Shed </t>
  </si>
  <si>
    <t xml:space="preserve">10/14/2015 </t>
  </si>
  <si>
    <t xml:space="preserve">Lewes: The Rusty Metal House </t>
  </si>
  <si>
    <t xml:space="preserve">10/21/2015 </t>
  </si>
  <si>
    <t xml:space="preserve">Revisited - Marlow: The Floating House </t>
  </si>
  <si>
    <t xml:space="preserve">10/28/2015 </t>
  </si>
  <si>
    <t xml:space="preserve">Revisited - Cornwall: The Cross-Laminated Timber House </t>
  </si>
  <si>
    <t xml:space="preserve">11/13/2015 </t>
  </si>
  <si>
    <t>Season 17</t>
  </si>
  <si>
    <t xml:space="preserve">Dursley: Gloucestershire Treehouse </t>
  </si>
  <si>
    <t xml:space="preserve">09/21/2016 </t>
  </si>
  <si>
    <t xml:space="preserve">Horsham: Fun House </t>
  </si>
  <si>
    <t xml:space="preserve">09/28/2016 </t>
  </si>
  <si>
    <t xml:space="preserve">South Cornwall: Steam Bending House </t>
  </si>
  <si>
    <t xml:space="preserve">Essex: Black House </t>
  </si>
  <si>
    <t xml:space="preserve">Bolton: Ultra-Modern House </t>
  </si>
  <si>
    <t xml:space="preserve">10/19/2016 </t>
  </si>
  <si>
    <t xml:space="preserve">Pembrokeshire: Low-Impact House </t>
  </si>
  <si>
    <t xml:space="preserve">10/26/2016 </t>
  </si>
  <si>
    <t xml:space="preserve">Devon: Plough-Shaped House </t>
  </si>
  <si>
    <t xml:space="preserve">The Wirral: Floating Timber House </t>
  </si>
  <si>
    <t xml:space="preserve">11/17/2016 </t>
  </si>
  <si>
    <t xml:space="preserve">Revisited - Somerset: Cow Shed </t>
  </si>
  <si>
    <t xml:space="preserve">05/30/2017 </t>
  </si>
  <si>
    <t>Season 18</t>
  </si>
  <si>
    <t xml:space="preserve">Malvern: Hill House </t>
  </si>
  <si>
    <t xml:space="preserve">Harringey, London: Victorian Gatehouse </t>
  </si>
  <si>
    <t xml:space="preserve">09/13/2017 </t>
  </si>
  <si>
    <t xml:space="preserve">County Down: Agricultural House </t>
  </si>
  <si>
    <t xml:space="preserve">09/20/2017 </t>
  </si>
  <si>
    <t xml:space="preserve">South Hertfordshire: Roman House </t>
  </si>
  <si>
    <t xml:space="preserve">09/27/2017 </t>
  </si>
  <si>
    <t xml:space="preserve">South East London: Victorian Dairy House </t>
  </si>
  <si>
    <t xml:space="preserve">Blackdown Hills, Devon: Snake House </t>
  </si>
  <si>
    <t xml:space="preserve">Peak District: Post-Industrial House </t>
  </si>
  <si>
    <t xml:space="preserve">10/18/2017 </t>
  </si>
  <si>
    <t xml:space="preserve">London: Miniscule House </t>
  </si>
  <si>
    <t xml:space="preserve">10/25/2017 </t>
  </si>
  <si>
    <t xml:space="preserve">Revisited - Herefordshire: The Recycled Timber-Framed House </t>
  </si>
  <si>
    <t>Season 19</t>
  </si>
  <si>
    <t xml:space="preserve">Aylsebury Vale: Folly House </t>
  </si>
  <si>
    <t xml:space="preserve">09/19/2018 </t>
  </si>
  <si>
    <t xml:space="preserve">Padstow, Cornwall: American Modernist House </t>
  </si>
  <si>
    <t xml:space="preserve">09/26/2018 </t>
  </si>
  <si>
    <t xml:space="preserve">London: Hypoallergenic House </t>
  </si>
  <si>
    <t xml:space="preserve">Episode 4 </t>
  </si>
  <si>
    <t xml:space="preserve">Episode 5 </t>
  </si>
  <si>
    <t xml:space="preserve">10/17/2018 </t>
  </si>
  <si>
    <t xml:space="preserve">Episode 6 </t>
  </si>
  <si>
    <t xml:space="preserve">10/24/2018 </t>
  </si>
  <si>
    <t xml:space="preserve">Episode 7 </t>
  </si>
  <si>
    <t xml:space="preserve">10/31/2018 </t>
  </si>
  <si>
    <t xml:space="preserve">12/01/2010 </t>
  </si>
  <si>
    <t xml:space="preserve">12/07/2011 </t>
  </si>
  <si>
    <t xml:space="preserve">11/06/2013 </t>
  </si>
  <si>
    <t xml:space="preserve">05/06/1999 </t>
  </si>
  <si>
    <t xml:space="preserve">06/03/1999 </t>
  </si>
  <si>
    <t xml:space="preserve">06/10/1999 </t>
  </si>
  <si>
    <t xml:space="preserve">11/08/2001 </t>
  </si>
  <si>
    <t xml:space="preserve">12/06/2001 </t>
  </si>
  <si>
    <t xml:space="preserve">12/08/2010 </t>
  </si>
  <si>
    <t xml:space="preserve">12/05/2012 </t>
  </si>
  <si>
    <t xml:space="preserve">08/07/2001 </t>
  </si>
  <si>
    <t xml:space="preserve">08/01/2001 </t>
  </si>
  <si>
    <t xml:space="preserve">09/04/2001 </t>
  </si>
  <si>
    <t xml:space="preserve">09/10/2002 </t>
  </si>
  <si>
    <t xml:space="preserve">10/01/2002 </t>
  </si>
  <si>
    <t xml:space="preserve">10/08/2003 </t>
  </si>
  <si>
    <t xml:space="preserve">02/12/2003 </t>
  </si>
  <si>
    <t xml:space="preserve">03/05/2003 </t>
  </si>
  <si>
    <t xml:space="preserve">03/12/2003 </t>
  </si>
  <si>
    <t xml:space="preserve">10/01/2003 </t>
  </si>
  <si>
    <t xml:space="preserve">02/04/2004 </t>
  </si>
  <si>
    <t xml:space="preserve">05/04/2005 </t>
  </si>
  <si>
    <t xml:space="preserve">03/05/2008 </t>
  </si>
  <si>
    <t xml:space="preserve">03/03/2004 </t>
  </si>
  <si>
    <t xml:space="preserve">03/10/2004 </t>
  </si>
  <si>
    <t xml:space="preserve">04/06/2005 </t>
  </si>
  <si>
    <t xml:space="preserve">03/12/2008 </t>
  </si>
  <si>
    <t xml:space="preserve">11/02/2005 </t>
  </si>
  <si>
    <t xml:space="preserve">11/09/2005 </t>
  </si>
  <si>
    <t xml:space="preserve">04/05/2006 </t>
  </si>
  <si>
    <t xml:space="preserve">04/12/2006 </t>
  </si>
  <si>
    <t xml:space="preserve">03/07/2007 </t>
  </si>
  <si>
    <t xml:space="preserve">04/04/2007 </t>
  </si>
  <si>
    <t xml:space="preserve">04/11/2007 </t>
  </si>
  <si>
    <t xml:space="preserve">05/02/2007 </t>
  </si>
  <si>
    <t xml:space="preserve">02/06/2008 </t>
  </si>
  <si>
    <t xml:space="preserve">04/02/2008 </t>
  </si>
  <si>
    <t xml:space="preserve">02/04/2009 </t>
  </si>
  <si>
    <t xml:space="preserve">02/11/2009 </t>
  </si>
  <si>
    <t xml:space="preserve">03/04/2009 </t>
  </si>
  <si>
    <t xml:space="preserve">03/11/2009 </t>
  </si>
  <si>
    <t xml:space="preserve">04/08/2009 </t>
  </si>
  <si>
    <t xml:space="preserve">11/10/2010 </t>
  </si>
  <si>
    <t xml:space="preserve">11/09/2011 </t>
  </si>
  <si>
    <t xml:space="preserve">10/06/2010 </t>
  </si>
  <si>
    <t xml:space="preserve">11/03/2010 </t>
  </si>
  <si>
    <t xml:space="preserve">11/02/2011 </t>
  </si>
  <si>
    <t xml:space="preserve">10/05/2011 </t>
  </si>
  <si>
    <t xml:space="preserve">10/12/2011 </t>
  </si>
  <si>
    <t xml:space="preserve">09/12/2012 </t>
  </si>
  <si>
    <t xml:space="preserve">10/10/2012 </t>
  </si>
  <si>
    <t xml:space="preserve">11/07/2012 </t>
  </si>
  <si>
    <t xml:space="preserve">09/04/2013 </t>
  </si>
  <si>
    <t xml:space="preserve">09/11/2013 </t>
  </si>
  <si>
    <t xml:space="preserve">10/02/2013 </t>
  </si>
  <si>
    <t xml:space="preserve">10/09/2013 </t>
  </si>
  <si>
    <t xml:space="preserve">09/03/2014 </t>
  </si>
  <si>
    <t xml:space="preserve">09/10/2014 </t>
  </si>
  <si>
    <t xml:space="preserve">10/01/2014 </t>
  </si>
  <si>
    <t xml:space="preserve">10/08/2014 </t>
  </si>
  <si>
    <t xml:space="preserve">11/05/2014 </t>
  </si>
  <si>
    <t xml:space="preserve">07/09/2015 </t>
  </si>
  <si>
    <t xml:space="preserve">09/09/2015 </t>
  </si>
  <si>
    <t xml:space="preserve">10/07/2015 </t>
  </si>
  <si>
    <t xml:space="preserve">10/05/2016 </t>
  </si>
  <si>
    <t xml:space="preserve">10/12/2016 </t>
  </si>
  <si>
    <t xml:space="preserve">11/02/2016 </t>
  </si>
  <si>
    <t xml:space="preserve">09/06/2017 </t>
  </si>
  <si>
    <t xml:space="preserve">10/04/2017 </t>
  </si>
  <si>
    <t xml:space="preserve">10/11/2017 </t>
  </si>
  <si>
    <t xml:space="preserve">11/01/2017 </t>
  </si>
  <si>
    <t xml:space="preserve">10/03/2018 </t>
  </si>
  <si>
    <t xml:space="preserve">10/10/2018 </t>
  </si>
  <si>
    <t>Number</t>
  </si>
  <si>
    <t>Airdate</t>
  </si>
  <si>
    <t>Name</t>
  </si>
  <si>
    <t>Score</t>
  </si>
  <si>
    <t>Status</t>
  </si>
  <si>
    <t>Oct 31, 2018</t>
  </si>
  <si>
    <t>Episode 7</t>
  </si>
  <si>
    <t>-</t>
  </si>
  <si>
    <t>Oct 24, 2018</t>
  </si>
  <si>
    <t>Episode 6</t>
  </si>
  <si>
    <t>Oct 17, 2018</t>
  </si>
  <si>
    <t>Episode 5</t>
  </si>
  <si>
    <t>Oct 10, 2018</t>
  </si>
  <si>
    <t>Episode 4</t>
  </si>
  <si>
    <t>Oct 3, 2018</t>
  </si>
  <si>
    <t>London: Hypoallergenic House</t>
  </si>
  <si>
    <t>Sep 26, 2018</t>
  </si>
  <si>
    <t>Padstow, Cornwall: American Modernist House</t>
  </si>
  <si>
    <t>Sep 19, 2018</t>
  </si>
  <si>
    <t>Buckinghamshire</t>
  </si>
  <si>
    <t>Nov 1, 2017</t>
  </si>
  <si>
    <t>Revisited - Herefordshire: The Recycled Timber-Framed House</t>
  </si>
  <si>
    <t>Oct 25, 2017</t>
  </si>
  <si>
    <t>London: Miniscule House</t>
  </si>
  <si>
    <t>Oct 18, 2017</t>
  </si>
  <si>
    <t>Peak District: Post-Industrial House</t>
  </si>
  <si>
    <t>Oct 11, 2017</t>
  </si>
  <si>
    <t>Blackdown Hills, Devon: Snake House</t>
  </si>
  <si>
    <t>Oct 4, 2017</t>
  </si>
  <si>
    <t>South East London: Victorian Dairy House</t>
  </si>
  <si>
    <t>Sep 27, 2017</t>
  </si>
  <si>
    <t>South Hertfordshire: Roman House</t>
  </si>
  <si>
    <t>Sep 20, 2017</t>
  </si>
  <si>
    <t>County Down: Agricultural House</t>
  </si>
  <si>
    <t>Sep 13, 2017</t>
  </si>
  <si>
    <t>Harringey, London: Victorian Gatehouse</t>
  </si>
  <si>
    <t>Sep 6, 2017</t>
  </si>
  <si>
    <t>Malvern Hill House</t>
  </si>
  <si>
    <t>May 30, 2017</t>
  </si>
  <si>
    <t>Revisited - Somerset: Cow Shed</t>
  </si>
  <si>
    <t>Nov 17, 2016</t>
  </si>
  <si>
    <t>The Wirral: Floating Timber House</t>
  </si>
  <si>
    <t>Nov 2, 2016</t>
  </si>
  <si>
    <t>Devon: Plough-Shaped House</t>
  </si>
  <si>
    <t>Oct 26, 2016</t>
  </si>
  <si>
    <t>Pembrokeshire: Low-Impact House</t>
  </si>
  <si>
    <t>Oct 19, 2016</t>
  </si>
  <si>
    <t>Bolton: Ultra-Modern House</t>
  </si>
  <si>
    <t>Oct 12, 2016</t>
  </si>
  <si>
    <t>Essex: Black House</t>
  </si>
  <si>
    <t>Oct 5, 2016</t>
  </si>
  <si>
    <t>South Cornwall: Steam Bending House</t>
  </si>
  <si>
    <t>Sep 28, 2016</t>
  </si>
  <si>
    <t>Horsham: Fun House</t>
  </si>
  <si>
    <t>Sep 21, 2016</t>
  </si>
  <si>
    <t>Dursley: Gloucestershire Treehouse</t>
  </si>
  <si>
    <t>Nov 13, 2015</t>
  </si>
  <si>
    <t>Revisited - Cornwall: The Cross-Laminated Timber House</t>
  </si>
  <si>
    <t>Oct 28, 2015</t>
  </si>
  <si>
    <t>Revisited - Marlow: The Floating House</t>
  </si>
  <si>
    <t>Oct 21, 2015</t>
  </si>
  <si>
    <t>Lewes: The Rusty Metal House</t>
  </si>
  <si>
    <t>Oct 14, 2015</t>
  </si>
  <si>
    <t>Somerset: The Concrete Cowshed</t>
  </si>
  <si>
    <t>Oct 7, 2015</t>
  </si>
  <si>
    <t>County Antrim: The Blacksmith's House</t>
  </si>
  <si>
    <t>Sep 30, 2015</t>
  </si>
  <si>
    <t>Worcestershire: The Cave House</t>
  </si>
  <si>
    <t>Sep 23, 2015</t>
  </si>
  <si>
    <t>Isle of Wight: The Seaside House</t>
  </si>
  <si>
    <t>Sep 16, 2015</t>
  </si>
  <si>
    <t>East Sussex - The Boat House</t>
  </si>
  <si>
    <t>Sep 9, 2015</t>
  </si>
  <si>
    <t>West Sussex: The Perfectionist's Bungalow</t>
  </si>
  <si>
    <t>Jul 30, 2015</t>
  </si>
  <si>
    <t>Living in the Country</t>
  </si>
  <si>
    <t>Jul 23, 2015</t>
  </si>
  <si>
    <t>Living in Suburbia</t>
  </si>
  <si>
    <t>Jul 16, 2015</t>
  </si>
  <si>
    <t>Living in the Wild</t>
  </si>
  <si>
    <t>Jul 9, 2015</t>
  </si>
  <si>
    <t>Living in the City</t>
  </si>
  <si>
    <t>Nov 5, 2014</t>
  </si>
  <si>
    <t>Revisited - Devon: The Crooked Chocolate Box Cottage</t>
  </si>
  <si>
    <t>Oct 29, 2014</t>
  </si>
  <si>
    <t>Revisited - Monmouthshire: The Japanese House</t>
  </si>
  <si>
    <t>Oct 22, 2014</t>
  </si>
  <si>
    <t>Revisited - Creuse, France: The 19th Century Manor House</t>
  </si>
  <si>
    <t>Oct 15, 2014</t>
  </si>
  <si>
    <t>Marlow: The Floating House</t>
  </si>
  <si>
    <t>Oct 8, 2014</t>
  </si>
  <si>
    <t>Norfolk: The Periscope House</t>
  </si>
  <si>
    <t>Oct 1, 2014</t>
  </si>
  <si>
    <t>London: The Urban Shed</t>
  </si>
  <si>
    <t>Sep 24, 2014</t>
  </si>
  <si>
    <t>County Londonderry: The Shipping Containers House</t>
  </si>
  <si>
    <t>Sep 17, 2014</t>
  </si>
  <si>
    <t>Milton Keynes: The Round House</t>
  </si>
  <si>
    <t>Sep 10, 2014</t>
  </si>
  <si>
    <t>Cornwall: The Cross-Laminated Timber House</t>
  </si>
  <si>
    <t>Sep 3, 2014</t>
  </si>
  <si>
    <t>Gwynedd: The Clifftop House</t>
  </si>
  <si>
    <t>Nov 13, 2013</t>
  </si>
  <si>
    <t>Revisited - Woodbridge: The Modest Home (Revisited from S10 Ep3)</t>
  </si>
  <si>
    <t>Nov 6, 2013</t>
  </si>
  <si>
    <t>Revisited - Málaga, Spain: The Modernist Villa (Revisited from Grand Designs Abroad 8 September 2004)</t>
  </si>
  <si>
    <t>Oct 30, 2013</t>
  </si>
  <si>
    <t>Newbury: The Christmas Farm</t>
  </si>
  <si>
    <t>Oct 23, 2013</t>
  </si>
  <si>
    <t>East Devon: The Cob Castle</t>
  </si>
  <si>
    <t>Oct 16, 2013</t>
  </si>
  <si>
    <t>Brockwell Park, South London: The Modernist Masterpiece</t>
  </si>
  <si>
    <t>Oct 9, 2013</t>
  </si>
  <si>
    <t>Monmouthshire: The Japanese House</t>
  </si>
  <si>
    <t>Oct 2, 2013</t>
  </si>
  <si>
    <t>South Lanarkshire: The Metal Sculptural Home</t>
  </si>
  <si>
    <t>Sep 25, 2013</t>
  </si>
  <si>
    <t>Tiverton: The Crooked Chocolate Box Cottage</t>
  </si>
  <si>
    <t>Sep 18, 2013</t>
  </si>
  <si>
    <t>York: The Giant Farm Shed</t>
  </si>
  <si>
    <t>Sep 11, 2013</t>
  </si>
  <si>
    <t>North London: The Miniature Hollywood Mansion</t>
  </si>
  <si>
    <t>Sep 4, 2013</t>
  </si>
  <si>
    <t>South Yorkshire: The 1920's Cinema</t>
  </si>
  <si>
    <t>Dec 5, 2012</t>
  </si>
  <si>
    <t>2nd Revisiting - Brighton: The Co-Op (Revisited from S1 Ep3 &amp; S2 Ep13</t>
  </si>
  <si>
    <t>Nov 28, 2012</t>
  </si>
  <si>
    <t>Revisited - Essex: The Large Timber-Framed Barn (Revisited from S11 Ep4)</t>
  </si>
  <si>
    <t>Nov 21, 2012</t>
  </si>
  <si>
    <t>Revisited - London: The Disco Home (Revisited from S11 Ep7)</t>
  </si>
  <si>
    <t>Nov 14, 2012</t>
  </si>
  <si>
    <t>Revisited - Isle of Wight: The Tree House (Revisited from S10 Ep1)</t>
  </si>
  <si>
    <t>Nov 7, 2012</t>
  </si>
  <si>
    <t>London: The Joinery Workshop</t>
  </si>
  <si>
    <t>Oct 31, 2012</t>
  </si>
  <si>
    <t>Isle of Skye: The Larch-Clad House</t>
  </si>
  <si>
    <t>Oct 24, 2012</t>
  </si>
  <si>
    <t>London: The Edwardian Artist's Studio</t>
  </si>
  <si>
    <t>Oct 17, 2012</t>
  </si>
  <si>
    <t>London: The Derelict Water Tower</t>
  </si>
  <si>
    <t>Oct 10, 2012</t>
  </si>
  <si>
    <t>Oxfordshire: The Thames Boathouse</t>
  </si>
  <si>
    <t>Sep 26, 2012</t>
  </si>
  <si>
    <t>Brixton: The Glass Cubes House</t>
  </si>
  <si>
    <t>Sep 19, 2012</t>
  </si>
  <si>
    <t>Hertfordshire: The Computer-cut House</t>
  </si>
  <si>
    <t>Sep 12, 2012</t>
  </si>
  <si>
    <t>Roscommon, Ireland: Cloontykilla Castle</t>
  </si>
  <si>
    <t>Nov 30, 2011</t>
  </si>
  <si>
    <t>Revisited - Kent: The Headcorn Minimalist House (Revisited from S9 Ep7)</t>
  </si>
  <si>
    <t>Nov 23, 2011</t>
  </si>
  <si>
    <t>Revisited - Cumbria: The Adaptahaus (Revisited from S10 Ep7)</t>
  </si>
  <si>
    <t>Nov 16, 2011</t>
  </si>
  <si>
    <t>Revisited - Ashford, Kent: The Water Tower Conversion (Revisited from S6 Ep4)</t>
  </si>
  <si>
    <t>Nov 9, 2011</t>
  </si>
  <si>
    <t>Revisited - Kent: The Eco Arch (Revisited from S9 Ep4)</t>
  </si>
  <si>
    <t>Nov 2, 2011</t>
  </si>
  <si>
    <t>Revisited - Lake District: The Dome House (Revisited from S10 Ep8)</t>
  </si>
  <si>
    <t>Oct 26, 2011</t>
  </si>
  <si>
    <t>London: The Disco Home</t>
  </si>
  <si>
    <t>Oct 19, 2011</t>
  </si>
  <si>
    <t>Cornwall: The Dilapidated Engine House</t>
  </si>
  <si>
    <t>Oct 12, 2011</t>
  </si>
  <si>
    <t>Herefordshire: The Recycled Timber-framed House</t>
  </si>
  <si>
    <t>Oct 5, 2011</t>
  </si>
  <si>
    <t>Essex: The Large Timber-framed Barn</t>
  </si>
  <si>
    <t>Sep 28, 2011</t>
  </si>
  <si>
    <t>Tenby: The Lifeboat Station</t>
  </si>
  <si>
    <t>Sep 21, 2011</t>
  </si>
  <si>
    <t>London: The Contemporary Mansion</t>
  </si>
  <si>
    <t>Sep 14, 2011</t>
  </si>
  <si>
    <t>Morpeth: The Derelict Mill Cottage</t>
  </si>
  <si>
    <t>Dec 15, 2010</t>
  </si>
  <si>
    <t>Revisited - Midlothian, Scotland: The Lime Kiln House (Revisited from S8 Ep5)</t>
  </si>
  <si>
    <t>Dec 8, 2010</t>
  </si>
  <si>
    <t>Coleshill, Amersham - 2nd Revisit: The Water Tower (Revisited from S1 Ep4 and S2 Ep16)</t>
  </si>
  <si>
    <t>Dec 1, 2010</t>
  </si>
  <si>
    <t>Revisited - Lot, France: House from Straw (Revisited from Grand Designs Abroad - 15 September 2004)</t>
  </si>
  <si>
    <t>Nov 24, 2010</t>
  </si>
  <si>
    <t>Revisited - Belfast: A 21st Century Answer to the Roman Villa (Revisited from S5 Ep9)</t>
  </si>
  <si>
    <t>Nov 17, 2010</t>
  </si>
  <si>
    <t>Revisited - Dulwich: The Glass &amp; Timber House (Revisited from S7 Ep12)</t>
  </si>
  <si>
    <t>Nov 10, 2010</t>
  </si>
  <si>
    <t>Revisited - Brittany, France: The Brittany Groundhouse (Revisited from S9 Ep5)</t>
  </si>
  <si>
    <t>Nov 3, 2010</t>
  </si>
  <si>
    <t>Lake District: The Dome House</t>
  </si>
  <si>
    <t>Oct 27, 2010</t>
  </si>
  <si>
    <t>Cumbria: The Adaptahaus</t>
  </si>
  <si>
    <t>Oct 20, 2010</t>
  </si>
  <si>
    <t>Lizard Peninsular: The Scandinavian House</t>
  </si>
  <si>
    <t>Oct 13, 2010</t>
  </si>
  <si>
    <t>Ipswich: The Radian House</t>
  </si>
  <si>
    <t>Oct 6, 2010</t>
  </si>
  <si>
    <t>Stowmarket: The Barn &amp; Guildhall</t>
  </si>
  <si>
    <t>Sep 29, 2010</t>
  </si>
  <si>
    <t>Woodbridge: The Modest Home</t>
  </si>
  <si>
    <t>Sep 22, 2010</t>
  </si>
  <si>
    <t>Cotswolds: The Stealth House</t>
  </si>
  <si>
    <t>Sep 15, 2010</t>
  </si>
  <si>
    <t>Isle of Wight: The Tree House</t>
  </si>
  <si>
    <t>Apr 29, 2009</t>
  </si>
  <si>
    <t>2nd Revisit - Sussex: The Woodsmans Cottage (Revisited from S3 Ep3 &amp; S5 Ep8)</t>
  </si>
  <si>
    <t>Apr 22, 2009</t>
  </si>
  <si>
    <t>Revisited - Killearn, Scotland: The Loch House (Revisited from S6 Ep1)</t>
  </si>
  <si>
    <t>Apr 15, 2009</t>
  </si>
  <si>
    <t>Revisited - Hampshire: The Thatched Cottage (Revisited from S7 Ep2)</t>
  </si>
  <si>
    <t>Apr 8, 2009</t>
  </si>
  <si>
    <t>Brighton: The Brighton Modern Mansion</t>
  </si>
  <si>
    <t>Mar 25, 2009</t>
  </si>
  <si>
    <t>Revisited - Cambridgeshire: The Cambridgeshire Eco Home (Revisited from S7 Ep10)</t>
  </si>
  <si>
    <t>Mar 18, 2009</t>
  </si>
  <si>
    <t>Revisited: The 14th Century Castle (Revisited from S7 Ep1)</t>
  </si>
  <si>
    <t>Mar 11, 2009</t>
  </si>
  <si>
    <t>Kent: The Headcorn Minimalist House</t>
  </si>
  <si>
    <t>Mar 4, 2009</t>
  </si>
  <si>
    <t>Wiltshire: The Marlborough Farm House</t>
  </si>
  <si>
    <t>Feb 25, 2009</t>
  </si>
  <si>
    <t>Brittany: The Brittany Groundhouse</t>
  </si>
  <si>
    <t>Feb 18, 2009</t>
  </si>
  <si>
    <t>Kent: The Eco Arch</t>
  </si>
  <si>
    <t>Feb 11, 2009</t>
  </si>
  <si>
    <t>Newport: The Newport Folly</t>
  </si>
  <si>
    <t>Feb 4, 2009</t>
  </si>
  <si>
    <t>Oxfordshire: The Chilterns Water Mill</t>
  </si>
  <si>
    <t>Jan 28, 2009</t>
  </si>
  <si>
    <t>Somerset: The Apprentice Store</t>
  </si>
  <si>
    <t>Apr 2, 2008</t>
  </si>
  <si>
    <t>Maidstone: The Hi Tech Bungalow</t>
  </si>
  <si>
    <t>Mar 26, 2008</t>
  </si>
  <si>
    <t>Revisited - Cumbria: The Underground House (Revisited from S3 Ep7)</t>
  </si>
  <si>
    <t>Mar 19, 2008</t>
  </si>
  <si>
    <t>Revisited - Surrey: The Victorian Threshing Barn (Revisited from S3 Ep4)</t>
  </si>
  <si>
    <t>Mar 12, 2008</t>
  </si>
  <si>
    <t>Revisited - Surrey: Customised German Kit House (Revisited from S4 Ep2)</t>
  </si>
  <si>
    <t>Mar 5, 2008</t>
  </si>
  <si>
    <t>Revisited - Peterborough: The Wooden Box (Revisited from S3 Ep1)</t>
  </si>
  <si>
    <t>Feb 27, 2008</t>
  </si>
  <si>
    <t>Revisited - Puglia: An Artists' Retreat (Revisited from Grand Designs Abroad - 22 September 2004)</t>
  </si>
  <si>
    <t>Feb 20, 2008</t>
  </si>
  <si>
    <t>Bath: The Bath Kit House</t>
  </si>
  <si>
    <t>Feb 13, 2008</t>
  </si>
  <si>
    <t>Midlothian: The Lime Kiln House</t>
  </si>
  <si>
    <t>Feb 6, 2008</t>
  </si>
  <si>
    <t>Herefordshire: The Gothic House</t>
  </si>
  <si>
    <t>Jan 30, 2008</t>
  </si>
  <si>
    <t>Bristol: The Modernist Sugar Cube</t>
  </si>
  <si>
    <t>Jan 23, 2008</t>
  </si>
  <si>
    <t>Oxford: The Decagon House</t>
  </si>
  <si>
    <t>Jan 16, 2008</t>
  </si>
  <si>
    <t>Cheltenham: The Underground House</t>
  </si>
  <si>
    <t>May 16, 2007</t>
  </si>
  <si>
    <t>Dulwich: The Glass &amp; Timber House</t>
  </si>
  <si>
    <t>May 9, 2007</t>
  </si>
  <si>
    <t>Revisited - Tuscany: The Tuscan Castle (Revisited from Grand Designs Abroad - 13 October 2004)</t>
  </si>
  <si>
    <t>May 2, 2007</t>
  </si>
  <si>
    <t>Cambridgeshire: The Cambridgeshire Eco Home</t>
  </si>
  <si>
    <t>Apr 25, 2007</t>
  </si>
  <si>
    <t>Revisited - Argyll: The Oak-Framed House (Revisited from S4 Ep7)</t>
  </si>
  <si>
    <t>Apr 18, 2007</t>
  </si>
  <si>
    <t>Revisited - Peckham: The Sliding Glass Roof House (Revisited from S5 Ep2)</t>
  </si>
  <si>
    <t>Apr 11, 2007</t>
  </si>
  <si>
    <t>Guildford: The Art Deco House</t>
  </si>
  <si>
    <t>Apr 4, 2007</t>
  </si>
  <si>
    <t>Tipton: The Birmingham Church</t>
  </si>
  <si>
    <t>Mar 28, 2007</t>
  </si>
  <si>
    <t>Revisited - Carmarthen: The Eco-House (Revisited from S5 Ep11)</t>
  </si>
  <si>
    <t>Mar 21, 2007</t>
  </si>
  <si>
    <t>Bournemouth: The Bournemouth Penthouse</t>
  </si>
  <si>
    <t>Mar 14, 2007</t>
  </si>
  <si>
    <t>Medway: The Eco-Barge</t>
  </si>
  <si>
    <t>Mar 7, 2007</t>
  </si>
  <si>
    <t>Hampshire: The Thatched Cottage</t>
  </si>
  <si>
    <t>Feb 28, 2007</t>
  </si>
  <si>
    <t>Skipton: The 14th Century Castle (90 minutes)</t>
  </si>
  <si>
    <t>May 23, 2006</t>
  </si>
  <si>
    <t>Revisited - Clapham: The Curved House (Revisited from S4 Ep5)</t>
  </si>
  <si>
    <t>May 17, 2006</t>
  </si>
  <si>
    <t>Exeter: Garden House aka "Mies van der Rohe Inspired House</t>
  </si>
  <si>
    <t>May 10, 2006</t>
  </si>
  <si>
    <t>Revisited - Les Gets, France: 300 Year Old Chalet (Revisited from Grand Designs Abroad - 20 October 2004)</t>
  </si>
  <si>
    <t>May 3, 2006</t>
  </si>
  <si>
    <t>Revisited - Creuse, France: 19th Century Manor House (Revisited from Grand Designs Abroad - 29 September 2004)</t>
  </si>
  <si>
    <t>Apr 26, 2006</t>
  </si>
  <si>
    <t>Ashford: Water Tower Conversion</t>
  </si>
  <si>
    <t>Apr 19, 2006</t>
  </si>
  <si>
    <t>Stirling: The Contemporary Cedar Clad Home</t>
  </si>
  <si>
    <t>Apr 12, 2006</t>
  </si>
  <si>
    <t>Ross-on-Wye: The Contemporary Barn Conversion</t>
  </si>
  <si>
    <t>Apr 5, 2006</t>
  </si>
  <si>
    <t>Killearn: The Loch House</t>
  </si>
  <si>
    <t>Nov 16, 2005</t>
  </si>
  <si>
    <t>Carmarthen: The Eco-House</t>
  </si>
  <si>
    <t>Nov 9, 2005</t>
  </si>
  <si>
    <t>Devon: The Miami-Style Beach House</t>
  </si>
  <si>
    <t>Nov 2, 2005</t>
  </si>
  <si>
    <t>Belfast: A 21st Century Answer to the Roman Villa</t>
  </si>
  <si>
    <t>Oct 26, 2005</t>
  </si>
  <si>
    <t>Revisited - Sussex: The Woodsmans Cottage (Revisited from S3 Ep3)</t>
  </si>
  <si>
    <t>Oct 19, 2005</t>
  </si>
  <si>
    <t>Shaldon: Shaped Like a Curvy Seashell</t>
  </si>
  <si>
    <t>Oct 13, 2005</t>
  </si>
  <si>
    <t>Revisited - Lambeth: The Violin Factory (Revisited from S4 Ep1)</t>
  </si>
  <si>
    <t>May 4, 2005</t>
  </si>
  <si>
    <t>Revisited - Hackney: The Terrace Conversion (Revisited from S3 Ep6)</t>
  </si>
  <si>
    <t>Apr 27, 2005</t>
  </si>
  <si>
    <t>Kent: Finnish Log Cabin</t>
  </si>
  <si>
    <t>Apr 20, 2005</t>
  </si>
  <si>
    <t>Gloucester: The 16th Century Farmhouse</t>
  </si>
  <si>
    <t>Apr 13, 2005</t>
  </si>
  <si>
    <t>Peckham: The sliding glass roof house</t>
  </si>
  <si>
    <t>Apr 6, 2005</t>
  </si>
  <si>
    <t>Revisited - Edinburgh:19th Century Sandstone House (Revisited from S4 Ep4)</t>
  </si>
  <si>
    <t>Mar 10, 2004</t>
  </si>
  <si>
    <t>Dorset: An Idiosyncratic Home</t>
  </si>
  <si>
    <t>Mar 3, 2004</t>
  </si>
  <si>
    <t>Argyll: The Oak-Framed House</t>
  </si>
  <si>
    <t>Feb 25, 2004</t>
  </si>
  <si>
    <t>Sussex: The Modernist Sugar Cube</t>
  </si>
  <si>
    <t>Feb 18, 2004</t>
  </si>
  <si>
    <t>Clapham: The Curved House</t>
  </si>
  <si>
    <t>Feb 11, 2004</t>
  </si>
  <si>
    <t>Leith: 19th Century Sandstone House</t>
  </si>
  <si>
    <t>Feb 4, 2004</t>
  </si>
  <si>
    <t>Revisited - Buckinghamshire: The Inverted-Roof House (Revisited from S3 Ep5)</t>
  </si>
  <si>
    <t>Jan 28, 2004</t>
  </si>
  <si>
    <t>Walton on Thames: Customised German Kit House</t>
  </si>
  <si>
    <t>Jan 21, 2004</t>
  </si>
  <si>
    <t>Lambeth: The Violin Factory</t>
  </si>
  <si>
    <t>Oct 29, 2003</t>
  </si>
  <si>
    <t>Revisited - Berkshire: The English Barn (Revisited from S1 Ep2)</t>
  </si>
  <si>
    <t>Oct 22, 2003</t>
  </si>
  <si>
    <t>Revisited - Sunderland: The Former Electricity Sub-Station (Revisited from Grand Designs Indoors - 1 March 2001)</t>
  </si>
  <si>
    <t>Oct 15, 2003</t>
  </si>
  <si>
    <t>2nd Revisit - Islington: The House of Straw (Revisited from S1 Ep7 &amp; S2 Ep11)</t>
  </si>
  <si>
    <t>Oct 8, 2003</t>
  </si>
  <si>
    <t>Revisited - Lambourn Valley: The Cruciform House (Revisited from S2 Ep5)</t>
  </si>
  <si>
    <t>Oct 1, 2003</t>
  </si>
  <si>
    <t>Herefordshire: The Traditional Cottage</t>
  </si>
  <si>
    <t>Sep 24, 2003</t>
  </si>
  <si>
    <t>Cumbria: The Underground House</t>
  </si>
  <si>
    <t>Sep 17, 2003</t>
  </si>
  <si>
    <t>Hackney: The Terrace Conversion</t>
  </si>
  <si>
    <t>Mar 12, 2003</t>
  </si>
  <si>
    <t>Buckinghamshire: The Inverted-Roof House</t>
  </si>
  <si>
    <t>Mar 5, 2003</t>
  </si>
  <si>
    <t>Surrey: The Victorian Threshing Barn</t>
  </si>
  <si>
    <t>Feb 26, 2003</t>
  </si>
  <si>
    <t>Sussex: The Woodsmans Cottage</t>
  </si>
  <si>
    <t>Feb 19, 2003</t>
  </si>
  <si>
    <t>Chesterfield: The Water-Works</t>
  </si>
  <si>
    <t>Feb 12, 2003</t>
  </si>
  <si>
    <t>Peterborough: The Wooden Box</t>
  </si>
  <si>
    <t>Oct 1, 2002</t>
  </si>
  <si>
    <t>Revisited - Devon: The Derelict Barns (Revisited from S2 Ep8)</t>
  </si>
  <si>
    <t>Sep 24, 2002</t>
  </si>
  <si>
    <t>Revisited - Coleshill, Amersham: The Water Tower (Revisited from S1 Ep4)</t>
  </si>
  <si>
    <t>Sep 17, 2002</t>
  </si>
  <si>
    <t>Revisited - London: The Dilapidated Georgian House (Revisited from Grand Designs Indoors - 15 March 2001)</t>
  </si>
  <si>
    <t>Sep 10, 2002</t>
  </si>
  <si>
    <t>Revisited - Brecon Beacons, Wales: The Isolated Cottage (Revisited from S2 Ep4)</t>
  </si>
  <si>
    <t>Dec 6, 2001</t>
  </si>
  <si>
    <t>Revisited - Brighton: The Co-Op (Revisited from S1 Ep3)</t>
  </si>
  <si>
    <t>Nov 29, 2001</t>
  </si>
  <si>
    <t>Revisited - Birmingham: The Self-Build (Revisited from S2 Ep6)</t>
  </si>
  <si>
    <t>Nov 22, 2001</t>
  </si>
  <si>
    <t>Revisited - Islington: The House of Straw (Revisited from S1 Ep7)</t>
  </si>
  <si>
    <t>Nov 15, 2001</t>
  </si>
  <si>
    <t>Revisited - Suffolk: The Eco-House (Revisited from S1 Ep5)</t>
  </si>
  <si>
    <t>Nov 8, 2001</t>
  </si>
  <si>
    <t>Revisited - Doncaster: The Glass-House (Revisited from S1 Ep8)</t>
  </si>
  <si>
    <t>Sep 4, 2001</t>
  </si>
  <si>
    <t>Devon: The Derelict Barns</t>
  </si>
  <si>
    <t>Aug 28, 2001</t>
  </si>
  <si>
    <t>London: The Jewel Box</t>
  </si>
  <si>
    <t>Aug 21, 2001</t>
  </si>
  <si>
    <t>Birmingham: The Self-Build</t>
  </si>
  <si>
    <t>Aug 14, 2001</t>
  </si>
  <si>
    <t>Lambourn Valley: The Cruciform House</t>
  </si>
  <si>
    <t>Aug 7, 2001</t>
  </si>
  <si>
    <t>Brecon Beacons: The Isolated Cottage</t>
  </si>
  <si>
    <t>Jul 31, 2001</t>
  </si>
  <si>
    <t>Netherton: The Wool Mill</t>
  </si>
  <si>
    <t>Jul 24, 2001</t>
  </si>
  <si>
    <t>Sussex: The New England Gable House</t>
  </si>
  <si>
    <t>Jul 17, 2001</t>
  </si>
  <si>
    <t>Farnham: The Regency Villa</t>
  </si>
  <si>
    <t>Jun 24, 1999</t>
  </si>
  <si>
    <t>Doncaster: The Glass House</t>
  </si>
  <si>
    <t>Jun 17, 1999</t>
  </si>
  <si>
    <t>Islington: The House of Straw</t>
  </si>
  <si>
    <t>Jun 10, 1999</t>
  </si>
  <si>
    <t>Cornwall: The Chapel</t>
  </si>
  <si>
    <t>Jun 3, 1999</t>
  </si>
  <si>
    <t>Suffolk: The Eco-House</t>
  </si>
  <si>
    <t>May 20, 1999</t>
  </si>
  <si>
    <t>Amersham: The Water Tower</t>
  </si>
  <si>
    <t>May 13, 1999</t>
  </si>
  <si>
    <t>Brighton: The Co-Operative Build</t>
  </si>
  <si>
    <t>May 6, 1999</t>
  </si>
  <si>
    <t>Berkshire: English Barn</t>
  </si>
  <si>
    <t>Apr 29, 1999</t>
  </si>
  <si>
    <t>Newhaven: The Timber Frame Kit House</t>
  </si>
  <si>
    <t>Season</t>
  </si>
  <si>
    <t>Episode</t>
  </si>
  <si>
    <t>Episode number</t>
  </si>
  <si>
    <t>S01E01</t>
  </si>
  <si>
    <t>S01E02</t>
  </si>
  <si>
    <t>S01E03</t>
  </si>
  <si>
    <t>S01E04</t>
  </si>
  <si>
    <t>S01E05</t>
  </si>
  <si>
    <t>S01E06</t>
  </si>
  <si>
    <t>S01E07</t>
  </si>
  <si>
    <t>S01E08</t>
  </si>
  <si>
    <t>S01E09</t>
  </si>
  <si>
    <t>S01E10</t>
  </si>
  <si>
    <t>S01E11</t>
  </si>
  <si>
    <t>S01E12</t>
  </si>
  <si>
    <t>S01E13</t>
  </si>
  <si>
    <t>S01E14</t>
  </si>
  <si>
    <t>S01E15</t>
  </si>
  <si>
    <t>S01E16</t>
  </si>
  <si>
    <t>S01E17</t>
  </si>
  <si>
    <t>S02E01</t>
  </si>
  <si>
    <t>S02E02</t>
  </si>
  <si>
    <t>S02E03</t>
  </si>
  <si>
    <t>S02E04</t>
  </si>
  <si>
    <t>S02E05</t>
  </si>
  <si>
    <t>S02E06</t>
  </si>
  <si>
    <t>S02E07</t>
  </si>
  <si>
    <t>S02E08</t>
  </si>
  <si>
    <t>S02E09</t>
  </si>
  <si>
    <t>S02E10</t>
  </si>
  <si>
    <t>S02E11</t>
  </si>
  <si>
    <t>S02E12</t>
  </si>
  <si>
    <t>S03E01</t>
  </si>
  <si>
    <t>S03E02</t>
  </si>
  <si>
    <t>S03E03</t>
  </si>
  <si>
    <t>S03E04</t>
  </si>
  <si>
    <t>S03E05</t>
  </si>
  <si>
    <t>S03E06</t>
  </si>
  <si>
    <t>S03E07</t>
  </si>
  <si>
    <t>S03E08</t>
  </si>
  <si>
    <t>S03E09</t>
  </si>
  <si>
    <t>S03E10</t>
  </si>
  <si>
    <t>S03E11</t>
  </si>
  <si>
    <t>S03E12</t>
  </si>
  <si>
    <t>S03E13</t>
  </si>
  <si>
    <t>S03E14</t>
  </si>
  <si>
    <t>S03E15</t>
  </si>
  <si>
    <t>S04E01</t>
  </si>
  <si>
    <t>S04E02</t>
  </si>
  <si>
    <t>S04E03</t>
  </si>
  <si>
    <t>S04E04</t>
  </si>
  <si>
    <t>S04E05</t>
  </si>
  <si>
    <t>S04E06</t>
  </si>
  <si>
    <t>S04E07</t>
  </si>
  <si>
    <t>S04E08</t>
  </si>
  <si>
    <t>S04E09</t>
  </si>
  <si>
    <t>S04E10</t>
  </si>
  <si>
    <t>S04E11</t>
  </si>
  <si>
    <t>S04E12</t>
  </si>
  <si>
    <t>S05E01</t>
  </si>
  <si>
    <t>S05E02</t>
  </si>
  <si>
    <t>S05E03</t>
  </si>
  <si>
    <t>S05E04</t>
  </si>
  <si>
    <t>S05E05</t>
  </si>
  <si>
    <t>S05E06</t>
  </si>
  <si>
    <t>S05E07</t>
  </si>
  <si>
    <t>S05E08</t>
  </si>
  <si>
    <t>S05E09</t>
  </si>
  <si>
    <t>S05E10</t>
  </si>
  <si>
    <t>S06E01</t>
  </si>
  <si>
    <t>S06E02</t>
  </si>
  <si>
    <t>S06E03</t>
  </si>
  <si>
    <t>S06E04</t>
  </si>
  <si>
    <t>S06E05</t>
  </si>
  <si>
    <t>S06E06</t>
  </si>
  <si>
    <t>S06E07</t>
  </si>
  <si>
    <t>S07E01</t>
  </si>
  <si>
    <t>S07E02</t>
  </si>
  <si>
    <t>S07E03</t>
  </si>
  <si>
    <t>S07E04</t>
  </si>
  <si>
    <t>S07E05</t>
  </si>
  <si>
    <t>S07E06</t>
  </si>
  <si>
    <t>S07E07</t>
  </si>
  <si>
    <t>S07E08</t>
  </si>
  <si>
    <t>S07E09</t>
  </si>
  <si>
    <t>S07E10</t>
  </si>
  <si>
    <t>S07E11</t>
  </si>
  <si>
    <t>S07E12</t>
  </si>
  <si>
    <t>S08E01</t>
  </si>
  <si>
    <t>S08E02</t>
  </si>
  <si>
    <t>S08E03</t>
  </si>
  <si>
    <t>S08E04</t>
  </si>
  <si>
    <t>S08E05</t>
  </si>
  <si>
    <t>S08E06</t>
  </si>
  <si>
    <t>S08E07</t>
  </si>
  <si>
    <t>S08E08</t>
  </si>
  <si>
    <t>S09E01</t>
  </si>
  <si>
    <t>S09E02</t>
  </si>
  <si>
    <t>S09E03</t>
  </si>
  <si>
    <t>S09E04</t>
  </si>
  <si>
    <t>S09E05</t>
  </si>
  <si>
    <t>S09E06</t>
  </si>
  <si>
    <t>S09E07</t>
  </si>
  <si>
    <t>S09E08</t>
  </si>
  <si>
    <t>S09E09</t>
  </si>
  <si>
    <t>S09E10</t>
  </si>
  <si>
    <t>S09E11</t>
  </si>
  <si>
    <t>S10E01</t>
  </si>
  <si>
    <t>S10E02</t>
  </si>
  <si>
    <t>S10E03</t>
  </si>
  <si>
    <t>S10E04</t>
  </si>
  <si>
    <t>S10E05</t>
  </si>
  <si>
    <t>S10E06</t>
  </si>
  <si>
    <t>S10E07</t>
  </si>
  <si>
    <t>S10E08</t>
  </si>
  <si>
    <t>S10E09</t>
  </si>
  <si>
    <t>S10E10</t>
  </si>
  <si>
    <t>S10E11</t>
  </si>
  <si>
    <t>S10E12</t>
  </si>
  <si>
    <t>S11E01</t>
  </si>
  <si>
    <t>S11E02</t>
  </si>
  <si>
    <t>S11E03</t>
  </si>
  <si>
    <t>S11E04</t>
  </si>
  <si>
    <t>S11E05</t>
  </si>
  <si>
    <t>S11E06</t>
  </si>
  <si>
    <t>S11E07</t>
  </si>
  <si>
    <t>S11E08</t>
  </si>
  <si>
    <t>S11E09</t>
  </si>
  <si>
    <t>S12E01</t>
  </si>
  <si>
    <t>S12E02</t>
  </si>
  <si>
    <t>S12E03</t>
  </si>
  <si>
    <t>S12E04</t>
  </si>
  <si>
    <t>S12E05</t>
  </si>
  <si>
    <t>S12E06</t>
  </si>
  <si>
    <t>S12E07</t>
  </si>
  <si>
    <t>S12E08</t>
  </si>
  <si>
    <t>S13E01</t>
  </si>
  <si>
    <t>S13E02</t>
  </si>
  <si>
    <t>S13E03</t>
  </si>
  <si>
    <t>S13E04</t>
  </si>
  <si>
    <t>S13E05</t>
  </si>
  <si>
    <t>S13E06</t>
  </si>
  <si>
    <t>S13E07</t>
  </si>
  <si>
    <t>S13E08</t>
  </si>
  <si>
    <t>S13E09</t>
  </si>
  <si>
    <t>S14E01</t>
  </si>
  <si>
    <t>S14E02</t>
  </si>
  <si>
    <t>S14E03</t>
  </si>
  <si>
    <t>S14E04</t>
  </si>
  <si>
    <t>S14E05</t>
  </si>
  <si>
    <t>S14E06</t>
  </si>
  <si>
    <t>S14E07</t>
  </si>
  <si>
    <t>S14E08</t>
  </si>
  <si>
    <t>S14E09</t>
  </si>
  <si>
    <t>S14E10</t>
  </si>
  <si>
    <t>S15E01</t>
  </si>
  <si>
    <t>S15E02</t>
  </si>
  <si>
    <t>S15E03</t>
  </si>
  <si>
    <t>S15E04</t>
  </si>
  <si>
    <t>S16E01</t>
  </si>
  <si>
    <t>S16E02</t>
  </si>
  <si>
    <t>S16E03</t>
  </si>
  <si>
    <t>S16E04</t>
  </si>
  <si>
    <t>S16E05</t>
  </si>
  <si>
    <t>S16E06</t>
  </si>
  <si>
    <t>S16E07</t>
  </si>
  <si>
    <t>S16E08</t>
  </si>
  <si>
    <t>S16E09</t>
  </si>
  <si>
    <t>S17E01</t>
  </si>
  <si>
    <t>S17E02</t>
  </si>
  <si>
    <t>S17E03</t>
  </si>
  <si>
    <t>S17E04</t>
  </si>
  <si>
    <t>S17E05</t>
  </si>
  <si>
    <t>S17E06</t>
  </si>
  <si>
    <t>S17E07</t>
  </si>
  <si>
    <t>S17E08</t>
  </si>
  <si>
    <t>S17E09</t>
  </si>
  <si>
    <t>S18E01</t>
  </si>
  <si>
    <t>S18E02</t>
  </si>
  <si>
    <t>S18E03</t>
  </si>
  <si>
    <t>S18E04</t>
  </si>
  <si>
    <t>S18E05</t>
  </si>
  <si>
    <t>S18E06</t>
  </si>
  <si>
    <t>S18E07</t>
  </si>
  <si>
    <t>S18E08</t>
  </si>
  <si>
    <t>S18E09</t>
  </si>
  <si>
    <t>S19E01</t>
  </si>
  <si>
    <t>S19E02</t>
  </si>
  <si>
    <t>S19E03</t>
  </si>
  <si>
    <t>S19E04</t>
  </si>
  <si>
    <t>S19E05</t>
  </si>
  <si>
    <t>S19E06</t>
  </si>
  <si>
    <t>S19E07</t>
  </si>
  <si>
    <t>S02E13</t>
  </si>
  <si>
    <t>S02E14</t>
  </si>
  <si>
    <t>S02E15</t>
  </si>
  <si>
    <t>S02E16</t>
  </si>
  <si>
    <t>S02E17</t>
  </si>
  <si>
    <t>S05E11</t>
  </si>
  <si>
    <t>S06E08</t>
  </si>
  <si>
    <t>S08E09</t>
  </si>
  <si>
    <t>S08E10</t>
  </si>
  <si>
    <t>S08E11</t>
  </si>
  <si>
    <t>S08E12</t>
  </si>
  <si>
    <t>S09E12</t>
  </si>
  <si>
    <t>S09E13</t>
  </si>
  <si>
    <t>S10E13</t>
  </si>
  <si>
    <t>S10E14</t>
  </si>
  <si>
    <t>S11E10</t>
  </si>
  <si>
    <t>S11E11</t>
  </si>
  <si>
    <t>S11E12</t>
  </si>
  <si>
    <t>S12E09</t>
  </si>
  <si>
    <t>S12E10</t>
  </si>
  <si>
    <t>S12E11</t>
  </si>
  <si>
    <t>S12E12</t>
  </si>
  <si>
    <t>S13E10</t>
  </si>
  <si>
    <t>S13E11</t>
  </si>
  <si>
    <t>Revisited - Doncaster: The Glass House</t>
  </si>
  <si>
    <t>Revisited - Suffolk: The Eco-House</t>
  </si>
  <si>
    <t>Revisited - Islington: The House of Straw</t>
  </si>
  <si>
    <t>Revisited - Brighton: The Co-Operative Build</t>
  </si>
  <si>
    <t>Revisited - Amersham: The Water Tower</t>
  </si>
  <si>
    <t>Revisited (2) - Islington: The House of Straw</t>
  </si>
  <si>
    <t>Revisited - Berkshire: English Barn</t>
  </si>
  <si>
    <t>Revisited (2) - Amersham: The Water Tower</t>
  </si>
  <si>
    <t>Revisited (2) - Brighton: The Co-Operative Build</t>
  </si>
  <si>
    <t>Sussex: The New England House</t>
  </si>
  <si>
    <t>Huddersfield: The Wool Mill</t>
  </si>
  <si>
    <t>Wales: The Isolated Cottage</t>
  </si>
  <si>
    <t>Lambourn: The Cruciform House</t>
  </si>
  <si>
    <t>Birmingham: The Community Self-Build</t>
  </si>
  <si>
    <t>Revisited - Birmingham: The Community Self-Build</t>
  </si>
  <si>
    <t>Revisited - Wales: The Isolated Cottage</t>
  </si>
  <si>
    <t>Revisited - Devon: The Derelict Barns</t>
  </si>
  <si>
    <t>Revisited - Lambourn: The Cruciform House</t>
  </si>
  <si>
    <t>Hereford: The Traditional Cottage</t>
  </si>
  <si>
    <t>Revisited - Buckinghamshire: The Inverted-Roof House</t>
  </si>
  <si>
    <t>Revisited - Hackney: The Terrace Conversion</t>
  </si>
  <si>
    <t>Revisited - Sussex: The Woodsmans Cottage</t>
  </si>
  <si>
    <t>Revisited - Peterborough: The Wooden Box</t>
  </si>
  <si>
    <t>Revisited - Surrey: The Victorian Threshing Barn</t>
  </si>
  <si>
    <t>Revisited - Cumbria: The Underground House</t>
  </si>
  <si>
    <t>Revisited (2) - Sussex: The Woodsmans Cottage</t>
  </si>
  <si>
    <t>Waterloo: The Violin Factory</t>
  </si>
  <si>
    <t>Walton: The German Huf Haus</t>
  </si>
  <si>
    <t>Edinburgh: 19th Century Sandstone House</t>
  </si>
  <si>
    <t>Revisited - Edinburgh: 19th Century Sandstone House</t>
  </si>
  <si>
    <t>Revisited - Waterloo: The Violin Factory</t>
  </si>
  <si>
    <t>Revisited - Clapham: The Curved House</t>
  </si>
  <si>
    <t>Revisited - Walton: The German Huf Haus</t>
  </si>
  <si>
    <t>Revisited - Argyll: The Oak-Framed House</t>
  </si>
  <si>
    <t>Peckham: The Sliding Glass Roof House</t>
  </si>
  <si>
    <t>Devon: Shaped Like a Curvy Seashell</t>
  </si>
  <si>
    <t>Devon: Miami Style Beach House</t>
  </si>
  <si>
    <t>Revisited - Carmarthen: The Eco-House</t>
  </si>
  <si>
    <t>Revisited - Peckham: The Sliding Glass Roof House</t>
  </si>
  <si>
    <t>Revisited - Belfast: A 21st Century Answer to the Roman Villa</t>
  </si>
  <si>
    <t>Ross-On-Wye: The Contemporary Barn Conversion</t>
  </si>
  <si>
    <t>Exeter: Split Personality House</t>
  </si>
  <si>
    <t>Revisited - Killearn: Loch House</t>
  </si>
  <si>
    <t>Revisited - Ashford: Water Tower Conversion</t>
  </si>
  <si>
    <t>Yorkshire: The 14th Century Castle</t>
  </si>
  <si>
    <t>Birmingham: The Birmingham Church</t>
  </si>
  <si>
    <t>Cambridge: The Cambridgeshire Eco Home</t>
  </si>
  <si>
    <t>London: The Glass and Timber House</t>
  </si>
  <si>
    <t>Revisited - Yorkshire: The 14th Century Castle</t>
  </si>
  <si>
    <t>Revisited - Cambridge: The Cambridgeshire Eco Home</t>
  </si>
  <si>
    <t>Revisited - Hampshire: The Thatched Cottage</t>
  </si>
  <si>
    <t>Revisited - London: The Glass and Timber House</t>
  </si>
  <si>
    <t>Monmouth: The Gothic House</t>
  </si>
  <si>
    <t>Revisited - Midlothian: The Lime Kiln House</t>
  </si>
  <si>
    <t>Newport: Folly</t>
  </si>
  <si>
    <t>Weald of Kent: Arched Eco House</t>
  </si>
  <si>
    <t>Brittany: Groundhouse</t>
  </si>
  <si>
    <t>Marlborough: 21st Century Farmhouse</t>
  </si>
  <si>
    <t>Headcorn: Modular House</t>
  </si>
  <si>
    <t>Brighton: Ultra Contemporary Mansion</t>
  </si>
  <si>
    <t>Revisited - Brittany: Groundhouse</t>
  </si>
  <si>
    <t>Revisited - Weald of Kent: Arched Eco House</t>
  </si>
  <si>
    <t>Revisited - The Headcorn: Modular House</t>
  </si>
  <si>
    <t>Cotswold: The Stealth House</t>
  </si>
  <si>
    <t>Stowmarket: The Tudor Guildhall</t>
  </si>
  <si>
    <t>West Cumbria: The Adaptahaus</t>
  </si>
  <si>
    <t>Revisited - Lake District: The Dome House</t>
  </si>
  <si>
    <t>Revisited - West Cumbria: The Adaptahaus</t>
  </si>
  <si>
    <t>Revisited - Isle of Wight: The Tree House</t>
  </si>
  <si>
    <t>Revisited: Woodbridge: The Modest Home</t>
  </si>
  <si>
    <t>Revisited - London: The Disco Home</t>
  </si>
  <si>
    <t>Revisited - Essex: The Large Timber-framed Barn</t>
  </si>
  <si>
    <t>London: The Underground House</t>
  </si>
  <si>
    <t>Tiverton: Crooked Chocolate Box Cottage</t>
  </si>
  <si>
    <t>South Lanarkshire: Metal Sculptural Home</t>
  </si>
  <si>
    <t>Monmouthshire: Japanese House</t>
  </si>
  <si>
    <t>South London: Modernist Masterpiece</t>
  </si>
  <si>
    <t>East Devon: Cob Castle</t>
  </si>
  <si>
    <t>Newbury: Christmas Farm</t>
  </si>
  <si>
    <t>East Sussex: The Boat House</t>
  </si>
  <si>
    <t>Somerset: The Concrete Cow-Shed</t>
  </si>
  <si>
    <t>Malvern: Hill House</t>
  </si>
  <si>
    <t>Aylsebury Vale: Folly House</t>
  </si>
  <si>
    <t>Living in the City.mkv</t>
  </si>
  <si>
    <t>Living in the Wild.mkv</t>
  </si>
  <si>
    <t>Living in Suburbia.mkv</t>
  </si>
  <si>
    <t>Living in the Country.mkv</t>
  </si>
  <si>
    <t>Newhaven - The Timber Frame Kit House.avi</t>
  </si>
  <si>
    <t>Berkshire - English Barn.avi</t>
  </si>
  <si>
    <t>Brighton - The Co-Operative Build.avi</t>
  </si>
  <si>
    <t>Amersham - The Water Tower.avi</t>
  </si>
  <si>
    <t>Suffolk - The Eco-House.avi</t>
  </si>
  <si>
    <t>Cornwall - The Chapel.avi</t>
  </si>
  <si>
    <t>Islington - The House of Straw.avi</t>
  </si>
  <si>
    <t>Doncaster - The Glass House.avi</t>
  </si>
  <si>
    <t>Farnham - The Regency Villa.avi</t>
  </si>
  <si>
    <t>Sussex - The New England Gable House.avi</t>
  </si>
  <si>
    <t>Netherton - The Wool Mill.avi</t>
  </si>
  <si>
    <t>Brecon Beacons - The Isolated Cottage.avi</t>
  </si>
  <si>
    <t>Lambourn Valley - The Cruciform House.avi</t>
  </si>
  <si>
    <t>Birmingham - The Self-Build.avi</t>
  </si>
  <si>
    <t>London - The Jewel Box.avi</t>
  </si>
  <si>
    <t>Devon - The Derelict Barns.avi</t>
  </si>
  <si>
    <t>Revisited - Doncaster - The Glass-House (Revisited from S1 Ep8).avi</t>
  </si>
  <si>
    <t>Revisited - Suffolk - The Eco-House (Revisited from S1 Ep5).avi</t>
  </si>
  <si>
    <t>Revisited - Islington - The House of Straw (Revisited from S1 Ep7).avi</t>
  </si>
  <si>
    <t>Revisited - Birmingham - The Self-Build (Revisited from S2 Ep6).avi</t>
  </si>
  <si>
    <t>Revisited - Brighton - The Co-Op (Revisited from S1 Ep3).avi</t>
  </si>
  <si>
    <t>Revisited - Brecon Beacons Wales - The Isolated Cottage (Revisited from S2 Ep4).avi</t>
  </si>
  <si>
    <t>Revisited - London - The Dilapidated Georgian House (Revisited from Grand Designs Indoors - 15 March 2001).avi</t>
  </si>
  <si>
    <t>Revisited - Coleshill Amersham - The Water Tower (Revisited from S1 Ep4).avi</t>
  </si>
  <si>
    <t>Revisited - Devon - The Derelict Barns (Revisited from S2 Ep8).avi</t>
  </si>
  <si>
    <t>Peterborough - The Wooden Box.avi</t>
  </si>
  <si>
    <t>Chesterfield - The Water-Works.mp4</t>
  </si>
  <si>
    <t>Sussex - The Woodsmans Cottage.avi</t>
  </si>
  <si>
    <t>Surrey - The Victorian Threshing Barn.avi</t>
  </si>
  <si>
    <t>Hackney - The Terrace Conversion.avi</t>
  </si>
  <si>
    <t>Cumbria - The Underground House.avi</t>
  </si>
  <si>
    <t>Herefordshire - The Traditional Cottage.avi</t>
  </si>
  <si>
    <t>Revisited - Sunderland - The Former Electricity Sub-Station (Revisited from Grand Designs Indoors - 1 March 2001).avi</t>
  </si>
  <si>
    <t>Revisited - Berkshire - The English Barn (Revisited from S1 Ep2).avi</t>
  </si>
  <si>
    <t>Lambeth - The Violin Factory.avi</t>
  </si>
  <si>
    <t>Walton on Thames - Customised German Kit House.avi</t>
  </si>
  <si>
    <t>Revisited - Buckinghamshire - The Inverted-Roof House (Revisited from S3 Ep5).avi</t>
  </si>
  <si>
    <t>Leith - 19th Century Sandstone House.avi</t>
  </si>
  <si>
    <t>Clapham - The Curved House.avi</t>
  </si>
  <si>
    <t>Sussex - The Modernist Sugar Cube.avi</t>
  </si>
  <si>
    <t>Argyll - The Oak-Framed House.avi</t>
  </si>
  <si>
    <t>Dorset - An Idiosyncratic Home.avi</t>
  </si>
  <si>
    <t>Peckham - The sliding glass roof house.avi</t>
  </si>
  <si>
    <t>Gloucester - The 16th Century Farmhouse.avi</t>
  </si>
  <si>
    <t>Kent - Finnish Log Cabin.avi</t>
  </si>
  <si>
    <t>Revisited - Hackney - The Terrace Conversion (Revisited from S3 Ep6).avi</t>
  </si>
  <si>
    <t>Shaldon - Shaped Like a Curvy Seashell.avi</t>
  </si>
  <si>
    <t>Belfast - A 21st Century Answer to the Roman Villa.avi</t>
  </si>
  <si>
    <t>Devon - The Miami-Style Beach House.avi</t>
  </si>
  <si>
    <t>Carmarthen - The Eco-House.avi</t>
  </si>
  <si>
    <t>Killearn - The Loch House.avi</t>
  </si>
  <si>
    <t>Ross-on-Wye - The Contemporary Barn Conversion.avi</t>
  </si>
  <si>
    <t>Stirling - The Contemporary Cedar Clad Home.avi</t>
  </si>
  <si>
    <t>Ashford - Water Tower Conversion.avi</t>
  </si>
  <si>
    <t>Exeter - Garden House aka Mies van der Rohe Inspired House.avi</t>
  </si>
  <si>
    <t>Skipton - The 14th Century Castle (90 minutes).avi</t>
  </si>
  <si>
    <t>Hampshire - The Thatched Cottage.avi</t>
  </si>
  <si>
    <t>Medway - The Eco-Barge.avi</t>
  </si>
  <si>
    <t>Bournemouth - The Bournemouth Penthouse.avi</t>
  </si>
  <si>
    <t>Revisited - Carmarthen - The Eco-House (Revisited from S5 Ep11).avi</t>
  </si>
  <si>
    <t>Tipton - The Birmingham Church.avi</t>
  </si>
  <si>
    <t>Guildford - The Art Deco House.avi</t>
  </si>
  <si>
    <t>Revisited - Peckham - The Sliding Glass Roof House (Revisited from S5 Ep2).avi</t>
  </si>
  <si>
    <t>Revisited - Argyll - The Oak-Framed House (Revisited from S4 Ep7).avi</t>
  </si>
  <si>
    <t>Cambridgeshire - The Cambridgeshire Eco Home.avi</t>
  </si>
  <si>
    <t>Revisited - Tuscany - The Tuscan Castle (Revisited from Grand Designs Abroad - 13 October 2004).avi</t>
  </si>
  <si>
    <t>Dulwich - The Glass &amp; Timber House.avi</t>
  </si>
  <si>
    <t>Cheltenham - The Underground House.avi</t>
  </si>
  <si>
    <t>Oxford - The Decagon House.avi</t>
  </si>
  <si>
    <t>Bristol - The Modernist Sugar Cube.avi</t>
  </si>
  <si>
    <t>Herefordshire - The Gothic House.avi</t>
  </si>
  <si>
    <t>Midlothian - The Lime Kiln House.avi</t>
  </si>
  <si>
    <t>Bath - The Bath Kit House.avi</t>
  </si>
  <si>
    <t>Revisited - Puglia - An Artists' Retreat (Revisited from Grand Designs Abroad - 22 September 2004).avi</t>
  </si>
  <si>
    <t>Revisited - Peterborough - The Wooden Box (Revisited from S3 Ep1).avi</t>
  </si>
  <si>
    <t>Revisited - Surrey - Customised German Kit House (Revisited from S4 Ep2).avi</t>
  </si>
  <si>
    <t>Revisited - Surrey - The Victorian Threshing Barn (Revisited from S3 Ep4).avi</t>
  </si>
  <si>
    <t>Revisited - Cumbria - The Underground House (Revisited from S3 Ep7).avi</t>
  </si>
  <si>
    <t>Maidstone - The Hi Tech Bungalow.avi</t>
  </si>
  <si>
    <t>Somerset - The Apprentice Store.avi</t>
  </si>
  <si>
    <t>Oxfordshire - The Chilterns Water Mill.avi</t>
  </si>
  <si>
    <t>Newport - The Newport Folly.avi</t>
  </si>
  <si>
    <t>Kent - The Eco Arch.avi</t>
  </si>
  <si>
    <t>Brittany - The Brittany Groundhouse.avi</t>
  </si>
  <si>
    <t>Wiltshire - The Marlborough Farm House.avi</t>
  </si>
  <si>
    <t>Kent - The Headcorn Minimalist House.avi</t>
  </si>
  <si>
    <t>Revisited - The 14th Century Castle (Revisited from S7 Ep1).avi</t>
  </si>
  <si>
    <t>Revisited - Cambridgeshire - The Cambridgeshire Eco Home (Revisited from S7 Ep10).avi</t>
  </si>
  <si>
    <t>Brighton - The Brighton Modern Mansion.avi</t>
  </si>
  <si>
    <t>Revisited - Hampshire - The Thatched Cottage (Revisited from S7 Ep2).avi</t>
  </si>
  <si>
    <t>Revisited - Killearn Scotland - The Loch House (Revisited from S6 Ep1).avi</t>
  </si>
  <si>
    <t>2nd Revisit - Sussex - The Woodsmans Cottage (Revisited from S3 Ep3 &amp; S5 Ep8).avi</t>
  </si>
  <si>
    <t>Isle of Wight - The Tree House.avi</t>
  </si>
  <si>
    <t>Cotswolds - The Stealth House.avi</t>
  </si>
  <si>
    <t>Woodbridge - The Modest Home.avi</t>
  </si>
  <si>
    <t>Stowmarket - The Barn &amp; Guildhall.avi</t>
  </si>
  <si>
    <t>Ipswich - The Radian House.avi</t>
  </si>
  <si>
    <t>Lizard Peninsular - The Scandinavian House.avi</t>
  </si>
  <si>
    <t>Cumbria - The Adaptahaus.avi</t>
  </si>
  <si>
    <t>Lake District - The Dome House.avi</t>
  </si>
  <si>
    <t>Revisited - Brittany France - The Brittany Groundhouse (Revisited from S9 Ep5).avi</t>
  </si>
  <si>
    <t>Revisited - Dulwich - The Glass &amp; Timber House (Revisited from S7 Ep12).avi</t>
  </si>
  <si>
    <t>Revisited - Belfast - A 21st Century Answer to the Roman Villa (Revisited from S5 Ep9).avi</t>
  </si>
  <si>
    <t>Revisited - Lot France - House from Straw (Revisited from Grand Designs Abroad - 15 September 2004).avi</t>
  </si>
  <si>
    <t>Coleshill Amersham - 2nd Revisit - The Water Tower (Revisited from S1 Ep4 and S2 Ep16).avi</t>
  </si>
  <si>
    <t>Revisited - Midlothian Scotland - The Lime Kiln House (Revisited from S8 Ep5).avi</t>
  </si>
  <si>
    <t>Morpeth - The Derelict Mill Cottage.avi</t>
  </si>
  <si>
    <t>London - The Contemporary Mansion.avi</t>
  </si>
  <si>
    <t>Tenby - The Lifeboat Station.avi</t>
  </si>
  <si>
    <t>Essex - The Large Timber-framed Barn.avi</t>
  </si>
  <si>
    <t>Herefordshire - The Recycled Timber-framed House.avi</t>
  </si>
  <si>
    <t>Cornwall - The Dilapidated Engine House.avi</t>
  </si>
  <si>
    <t>London - The Disco Home.avi</t>
  </si>
  <si>
    <t>Revisited - Lake District - The Dome House.avi</t>
  </si>
  <si>
    <t>Revisited - Lake District - The Dome House.nfo</t>
  </si>
  <si>
    <t>Revisited - Kent - The Eco Arch.avi</t>
  </si>
  <si>
    <t>Revisited - Kent - The Eco Arch.nfo</t>
  </si>
  <si>
    <t>Revisited - Ashford Kent - The Water Tower Conversion.avi</t>
  </si>
  <si>
    <t>Revisited - Ashford Kent - The Water Tower Conversion.nfo</t>
  </si>
  <si>
    <t>Revisited - Cumbria - The Adaptahaus.avi</t>
  </si>
  <si>
    <t>Revisited - Cumbria - The Adaptahaus.nfo</t>
  </si>
  <si>
    <t>Revisited - Kent - The Headcorn Minimalist House.avi</t>
  </si>
  <si>
    <t>Revisited - Kent - The Headcorn Minimalist House.nfo</t>
  </si>
  <si>
    <t>Roscommon Ireland - Cloontykilla Castle.avi</t>
  </si>
  <si>
    <t>Hertfordshire - The Computer-cut House.avi</t>
  </si>
  <si>
    <t>Brixton - The Glass Cubes House.avi</t>
  </si>
  <si>
    <t>Oxfordshire - The Thames Boathouse.avi</t>
  </si>
  <si>
    <t>London - The Derelict Water Tower.mkv</t>
  </si>
  <si>
    <t>London - The Underground House.mkv</t>
  </si>
  <si>
    <t>Isle of Skye - The Larch-Clad House.avi</t>
  </si>
  <si>
    <t>London - The Joinery Workshop.avi</t>
  </si>
  <si>
    <t>Revisited - Isle of Wight - The Tree House.avi</t>
  </si>
  <si>
    <t>Revisited - London - The Disco Home.avi</t>
  </si>
  <si>
    <t>Revisited - Essex - The Large Timber-Framed Barn.avi</t>
  </si>
  <si>
    <t>2nd Revisiting - Brighton - The Co-Op.avi</t>
  </si>
  <si>
    <t>South Yorkshire - The 1920's Cinema.mkv</t>
  </si>
  <si>
    <t>North London - The Miniature Hollywood Mansion.mkv</t>
  </si>
  <si>
    <t>York - The Giant Farm Shed.mkv</t>
  </si>
  <si>
    <t>Tiverton - Crooked Chocolate Box Cottage.mkv</t>
  </si>
  <si>
    <t>South Lanarkshire - Metal Sculptural Home.mkv</t>
  </si>
  <si>
    <t>Monmouthshire - Japanese House.mkv</t>
  </si>
  <si>
    <t>South London - Modernist Masterpiece.mkv</t>
  </si>
  <si>
    <t>East Devon - Cob Castle.mkv</t>
  </si>
  <si>
    <t>Newbury - Christmas Farm.mkv</t>
  </si>
  <si>
    <t>Revisited - Málaga Spain - The Modernist Villa.mkv</t>
  </si>
  <si>
    <t>Revisited - Woodbridge - The Modest Home.mkv</t>
  </si>
  <si>
    <t>North Wales - The Clifftop House.mkv</t>
  </si>
  <si>
    <t>North Cornwall - The Cross-Laminated Timber House.mkv</t>
  </si>
  <si>
    <t>Milton Keynes - Round House.mkv</t>
  </si>
  <si>
    <t>County Derry - Shipping Container House.mkv</t>
  </si>
  <si>
    <t>South East London - Urban Shed.mkv</t>
  </si>
  <si>
    <t>Norfolk - Periscope House.mkv</t>
  </si>
  <si>
    <t>River Thames - Floating House.mkv</t>
  </si>
  <si>
    <t>Revisited - Creuse France - 19th Century Manor House.mkv</t>
  </si>
  <si>
    <t>Revisited - Monmouthshire - Japanese House.mkv</t>
  </si>
  <si>
    <t>Revisited - Tiverton - Crooked Chocolate Box Cottage.mkv</t>
  </si>
  <si>
    <t>West Sussex - The Perfectionist's Bungalow.mkv</t>
  </si>
  <si>
    <t>East Sussex - The Boat House.mkv</t>
  </si>
  <si>
    <t>Solent - The Seaside House.mkv</t>
  </si>
  <si>
    <t>Wyre Forest - The Cave House.mkv</t>
  </si>
  <si>
    <t>County Antrim - The Blacksmith's House.mkv</t>
  </si>
  <si>
    <t>Somerset - The Concrete Cow-Shed.mkv</t>
  </si>
  <si>
    <t>South Downs - The Rusty Metal House.mkv</t>
  </si>
  <si>
    <t>Revisited - River Thames - Floating House.mkv</t>
  </si>
  <si>
    <t>Revisited - North Cornwall - The Cross-Laminated Timber House.mkv</t>
  </si>
  <si>
    <t>Gloucestershire - Treehouse.mkv</t>
  </si>
  <si>
    <t>Horsham - Fun House.mkv</t>
  </si>
  <si>
    <t>South Cornwall - Wavy Wooden House.mkv</t>
  </si>
  <si>
    <t>Essex - Black House.mkv</t>
  </si>
  <si>
    <t>Bolton - Ultra-Modern House.mkv</t>
  </si>
  <si>
    <t>Pembrokeshire - Low-Impact House.mkv</t>
  </si>
  <si>
    <t>Devon - Plough-Shaped House.mkv</t>
  </si>
  <si>
    <t>The Wirral - Floating Timber House.mkv</t>
  </si>
  <si>
    <t>Revisited - Somerset - Concrete Cow Shed.mp4</t>
  </si>
  <si>
    <t>Malvern - Hill House.mkv</t>
  </si>
  <si>
    <t>Harringey London - Victorian Gatehouse.mkv</t>
  </si>
  <si>
    <t>County Down - Agricultural House.mkv</t>
  </si>
  <si>
    <t>South Hertfordshire - Roman House.mkv</t>
  </si>
  <si>
    <t>South East London - Victorian Dairy House.mkv</t>
  </si>
  <si>
    <t>Blackdown Hills Devon - Snake House.mkv</t>
  </si>
  <si>
    <t>Peak District - Post-Industrial House.mkv</t>
  </si>
  <si>
    <t>London - Miniscule House.mkv</t>
  </si>
  <si>
    <t>Revisited - Herefordshire - The Recycled Timber-Framed House.mkv</t>
  </si>
  <si>
    <t>Aylsebury Vale - Folly House.mkv</t>
  </si>
  <si>
    <t>Padstow Cornwall - American Modernist House.mkv</t>
  </si>
  <si>
    <t>TVDB</t>
  </si>
  <si>
    <t>TVMaze</t>
  </si>
  <si>
    <t>Files</t>
  </si>
  <si>
    <t>Episode number from TVMaze</t>
  </si>
  <si>
    <t>Combined</t>
  </si>
  <si>
    <t>Have file</t>
  </si>
  <si>
    <t>Name from TVMaze</t>
  </si>
  <si>
    <t>Name from TVDB</t>
  </si>
  <si>
    <t>Is name same</t>
  </si>
  <si>
    <t>NFO created</t>
  </si>
  <si>
    <t>No need</t>
  </si>
  <si>
    <t>Yes</t>
  </si>
  <si>
    <t>Tim Cox and Julia Brock want to build their home on a clifftop in Newhaven.</t>
  </si>
  <si>
    <t>Kevin travels to Berkshire to see the conversion of an English barn by Denys and Marjorie Randolph.</t>
  </si>
  <si>
    <t>Kevin travels to Amersham to see the conversion of an old water tower into a stylish new home by Deborah Mills and architect Andrew Tate.</t>
  </si>
  <si>
    <t>Kevin travels to Suffolk to see the build of an environmentally friendly house by former tax inspector Rob Roy. Episode Revisited 15 March 2001.</t>
  </si>
  <si>
    <t>Kevin travels to Cornwall to see the conversion of an old chapel by Gavin Allen and Jane Fitzsimons.</t>
  </si>
  <si>
    <t>Michael Hird and Lindsay Harwood build a glass and steel home in Doncaster. Episode Revisited 8 November 2001.</t>
  </si>
  <si>
    <t>Kevin travels to Suffolk to revisit the build of an environmentally friendly house by Alida Saunders and former tax inspector Rob Roy</t>
  </si>
  <si>
    <t>April Marr and Reuben Welch. Kevin McCloud revisits a thrill-seeking couple who bought a derelict 19th-century stone house in Edinburgh with the aim of restoring it to its former glory. He hopes to discover whether their lack of building experience hindered their ambitious project or if their energy and enthusiasm managed to pull them through.</t>
  </si>
  <si>
    <t>When Pilots Andrew Berry and his wife Helen bought their cottage near Guildford in Surrey 7 years ago they always planned to add a small extension. But over the last few years the modest extension has evolved so much that retaining any of the original cottage simply wasn't practical. Now it's being completely demolished to make way for a new five bedroom Art Deco style house.</t>
  </si>
  <si>
    <t>Kevin McCloud revisits Helen Gould and Phil Reddy five years after they built an earth-sheltered home in Cumbria. The presenter finds out if the house has survived without leakage and whether it has delivered the eco-friendly life the couple desired.</t>
  </si>
  <si>
    <t>Ian and Sophie Cooper met at university and have since spent their time together enjoying life in London. Ian works as a marketing consultant in telecoms and Sophie is a sales manager for a fashion firm. Both are passionate about design. They've done the usual thing of renovating flats and moving on... but three years ago they realised they wanted a different kind of life in a different kind of building.</t>
  </si>
  <si>
    <t>Lincoln Miles and his wife Lisa Traxler modernise a stone-clad bungalow on the Isle of Wight.</t>
  </si>
  <si>
    <t>Helen and Chris Seymour Smith get planning permission to build a house in open countryside.</t>
  </si>
  <si>
    <t>Following Kathryn Tyler as she designs and builds her Scandinavian-inspired eco house in Falmouth.</t>
  </si>
  <si>
    <t>Robert and Milla Gaukroger plan to extend an old 1980s house overlooking Windermere.</t>
  </si>
  <si>
    <t>Kevin returns to see how Daren Howarth and Adi Nortje's project has fared four years after they decided to build an earth-sheltered home in Brittany.</t>
  </si>
  <si>
    <t>Paul Rimmer has worked with bricks for 40 years renovating Victorian houses in Bolton. But now he plans to hand-build a state-of-the-art wooden home. If his funding holds up that is.</t>
  </si>
  <si>
    <t>None</t>
  </si>
  <si>
    <t>Started in 1998, this development of ten timber frame houses is based on the Walter Segal method of construction and was led by Jenny and Paul Crouch. They incorporate high levels of Warmcell insulation and benefit from south-facing solar gain. The roofs are of sedum. Episode Revisited on 13 March 2001.</t>
  </si>
  <si>
    <t>In Islington, Jeremy Till and Sarah Wigglesworth are building a house of sandbags and straw. Episode Revisited 13 March 2001.</t>
  </si>
  <si>
    <t>Kevin McCloud meets a woman determined to build the house of her dreams, an enormous Georgian-style mansion. Helen Saunders and her husband Mark Eisenstadt finally found the perfect plot of land in Farnham, and have spent years planning every aspect of their new home. Having undergone extensive preparation, they don't foresee too many problems, but once the build gets underway their dream soon turns into a nightmare.</t>
  </si>
  <si>
    <t>Kevin McCloud visits the Sussex Downs to follow the construction of a New England-style kit house bought and designed entirely on the internet. Self-builder Jane Warren loves the New England style, and when she discovered that she could replicate it in the UK by buying an entire kit house, she just had to have one. Will Jane realise her dream of celebrating her first anniversary with her new husband Willem Mulder, in her new home or will her New England kit house become a living hell?</t>
  </si>
  <si>
    <t>Kevin McCloud meets Chris and Jill Heleine, who have chosen to build their dream home in Huddersfield. Some time ago they bought a deserted textile mill, which they dream of giving a light, modern interior. The build has been organised like a military operation, their filing system has left nothing to chance and Chris will even be doing some of the work himself. But will their dream home turn out exactly as they expected?</t>
  </si>
  <si>
    <t>Kevin McCloud travels to Wales to visit Adrian and Corrina, who have decided that their first home will be a 300-year-old ruin. The cottage is set in the Brecon Beacons National Park, Corrina and Adrian have a very small budget and an enormous amount of work to do to return the ruin to its former glory but they are eager and seemingly undaunted by the scale of the project. But how will they cope when the elements suddenly turn on them?</t>
  </si>
  <si>
    <t>Kevin McCloud meets Rupert and Julie Upton, who are building a very experimental idea in the Lambourn Valley. Their dream is to create an amazing cross-shaped house made of oak and glass, strikingly modern with the most superb views. But each piece of wood has to be custom made and the design itself is incredibly complex. Few people would have the courage to take on such an experimental build – will Rupert and Julie's bravery pay off?</t>
  </si>
  <si>
    <t>Kevin McCloud checks out a housing scheme in Birmingham. It's near impossible for many people, particularly those on a low income, to buy their own home. However, a Birmingham Housing Association along with Angela and Peter has set up a scheme that allows people to build one instead. The group of 11 men and women will build, not just their own property, but each other's homes as well. None of these budding self-builders have previous experience in the trade and have undergone extensive training to teach them the ropes.</t>
  </si>
  <si>
    <t>Kevin McCloud visits a couple who are looking to build their hi-tech modern house in a quiet north London street. Sarah Jordan and Coneyl Jay have long dreamt of the perfect work and living space. Unable to find what they were looking for they decided to build their own. However the site they have found is situated in a predominantly Edwardian street. While they wait to see if the council approve their plans, they employ architect Mike Tonkin to realise their vision but can their ambitious project ever become reality?</t>
  </si>
  <si>
    <t>Kevin McCloud travels to south Devon to meet Sue Charman and Martin Whitlock whose dream is to create a family home which feels part of the earth, using old English building techniques. They are not starting from scratch, but rebuilding two ancient run-down barns. Environmental concerns are extremely important to them, but will they manage to realise their vision of rebuilding the barns in same meticulous way they were built originally, whilst incorporating energy efficient, 21st century technology?</t>
  </si>
  <si>
    <t>Kevin McCloud returns to Doncaster to catch up with Michael Hird and Lindsay Harwood, who set out to build a futuristic glass and steel house on the edge of a conservation area.</t>
  </si>
  <si>
    <t>Jeremy Till and Sarah Wigglesworth built their experimental central London house out of straw bales, springs and sandbags. Nearly nine years after its conception, Kevin McCloud returns to the award-winning house to see the finished property and find out if an adjacent railway line is causing a disturbance.</t>
  </si>
  <si>
    <t>Kevin McCloud revisits a housing scheme in Birmingham. It's near impossible for many people, particularly those on a low income, to buy their own home. However, a Birmingham Housing Association along with Angela and Peter has set up a scheme that allows people to build one instead. The group of 11 men and women will build, not just their own property, but each other's homes as well. None of these budding self-builders have previous experience in the trade and have undergone extensive training to teach them the ropes.</t>
  </si>
  <si>
    <t>Started in 1998, Kevin revisits a development of ten timber frame houses is based on the Walter Segal method of construction and was led by Jenny and Paul Crouch. They incorporate high levels of Warmcell insulation and benefit from south-facing solar gain. The roofs are of sedum.</t>
  </si>
  <si>
    <t>Kevin McCloud returns to Wales to visit Adrian and Corrina, who have decided that their first home will be a 300-year-old ruin. The cottage is set in the Brecon Beacons National Park, Corrina and Adrian have a very small budget and an enormous amount of work to do to return the ruin to its former glory but they are eager and seemingly undaunted by the scale of the project. But how will they cope when the elements suddenly turn on them?</t>
  </si>
  <si>
    <t>Kevin McCloud revisits Sharon and Tony Relph a couple who hoped to restore a dilapidated Georgian house in London to its former glory. Once 200 years of redecoration and refurbishment had been stripped away, the property boasted elegant period features, but the pair still had to overcome daunting interior decay problems.</t>
  </si>
  <si>
    <t>Kevin McCloud returns for a second visit to The Water Tower. As one of Grand Design's first projects, Andrew Tate and Deborah Mills found a site with a monstrous, dilapidated, 100 foot tall water tower on it. Unusually, they saw it as the perfect spot to build a contemporary family home and convert the old water tower into a seven-storey bedroom wing. Andrew is a commercial architect and so the modern new build went up in just four months, using fast-track methods alongside unconventional building materials. Kevin went back to see Andrew and Deborah three years after they had moved into their contemporary extension, but they had still made no progress on the water tower, and were living with minimal bedroom space.</t>
  </si>
  <si>
    <t>Kevin McCloud returns to south Devon to revisit Sue Charman and Martin Whitlock whose dream was to create a family home which feels part of the earth, using old English building techniques. They were not starting from scratch, but rebuilding two ancient run-down barns. Environmental concerns were extremely important to them, but did they manage to realise their vision of rebuilding the barns in same meticulous way they were built originally, whilst incorporating energy efficient, 21st century technology?</t>
  </si>
  <si>
    <t>Kevin McCloud is in Cambridgeshire, where John and Terri Westlake intend to knock down a derelict house and commission commercial architects to build them a new one.</t>
  </si>
  <si>
    <t>The 1930s derelict water works Chris Jones and Leanne Smith fell in love with was huge and its design had clearly been inspired by Gilbert Scott's Bankside power station, now better known as the Tate Modern. But nothing would deter the couple. 'We looked at it,' said Chris, 'and saw our home.'</t>
  </si>
  <si>
    <t>For 10 years, Ben Law lived in tents and caravans in a wood in West Sussex. As a woodsman, he needed and wanted to live among the trees, but now he wants a house for some creature comforts. Ben has invited volunteers to help him build a sustainable house by hand, from the materials growing around him.</t>
  </si>
  <si>
    <t>Philip and Angela Traill set out to convert a 150-year-old barn near Surrey. The barn is grade two listed which means they have to keep the outside intact but are free to do what they please on the inside. They didn't want to do another typical barn conversion, so they decided to build their "house" inside instead. A helical stairway leads to a suspended curved walkway, with master bedroom on one side and the children bedrooms on the other. The kitchen is in an adjacent stable block, which was integrated into the main building. The house is also packed with computer wiring a central stereo system and ambient lighting system consisting of 188 lights. Everywhere you look curves interplay with straight lines. The result is a beautiful mixture of new and old, exquisitely finished in detail.</t>
  </si>
  <si>
    <t>Tom and Judy Perry wanted more than just a home for themselves and their two children. On a site of outstanding natural beauty in Buckinghamshire, they set out to build an ambitious house – a symphony of angles, glass walls and exposed steel, with a dramatic inverted roof. Tom made himself site manager and main contractor. He had no experience but he liked a challenge – and, after all, how difficult could it be? And it turns out to be very difficult.</t>
  </si>
  <si>
    <t>Helen Gould and Phil Reddy wanted their home to make the most of spectacular views, but they also wanted it to be ecologically friendly. Their solution was to build an earth-sheltered home, with most of the house built into the hillside.</t>
  </si>
  <si>
    <t>Merry's family have been Herefordshire builders for generations, so she knew that the county was rich in traditional building crafts. She and Ben Albright decided to combine these with technology for a new house with a genuinely rural feel.</t>
  </si>
  <si>
    <t>Kevin McCloud catches up with Rupert and Julie Upton. The three-year build on the picturesque slopes of the Berkshire Downs was wracked with hold-ups, set-backs and spiralling costs but the gardens have now been landscaped, and the timber frame has aged in colour from honey to silver as the property settles down into its outstanding rural setting.</t>
  </si>
  <si>
    <t>Kevin McCloud catches up with Sarah Wigglesworth and Jeremy Till, who constructed their experimental central London house out of straw bales, springs, cloth cladding and sandbags. They laid themselves on the line, both professionally and personally, as their build slowly advanced from one architectural style to the next. Kevin returns to this award-winning house to find out whether it is well and truly finished.</t>
  </si>
  <si>
    <t>Kevin McCloud revisits a couple who converted a disused electricity substation in Sunderland into a four-bedroom family home, armed with just £50,000 and ideas from a book about Moroccan interiors. Despite a number of setbacks, Anne and Richard Curtis created a living space which, three years later, has had a sumptuous rooftop garden added to it.</t>
  </si>
  <si>
    <t>Kevin McCloud catches up on retired couple Denys and Marjorie Randolph, who had decided to embark on their final building project, a brand new, green oak, barn-style house.</t>
  </si>
  <si>
    <t>Louise and Milko Ostendorf wanted to build the home of a lifetime. Milko's job as a well-paid City banker meant they could think big, so Louise set up her own architectural practice and they bought a disused violin factory in the heart of London's Waterloo. The crumbling building was hemmed in on all sides and had no views, but Louise had a vision of a spectacular loft-style home that would combine stunning design with utter luxury.</t>
  </si>
  <si>
    <t>David and Greta Iredale loved their home, a modernist structure in Surrey that they had built themselves almost 40 years ago. It was filled with things they'd chosen over the years – design classics, mementoes, David's paintings. But that house was falling apart and had to come down. Meanwhile, they had lost their hearts to a German post-and-beam house, designed by architect Peter Huf and available as a customised kit (Huf Haus).</t>
  </si>
  <si>
    <t>Tom and Judy Perry wanted more than just a home for themselves and their two children. On a site of outstanding natural beauty in Buckinghamshire, they set out to build an ambitious house – a symphony of angles, glass walls and exposed steel, with a dramatic inverted roof. Tom made himself site manager and main contractor. He had no experience but he liked a challenge – and, after all, how difficult could it be?</t>
  </si>
  <si>
    <t>When Reuben Welch and April Marr came across a ruined 19th-century house amid the tower blocks of Leith, Edinburgh, they saw it as their future home. They had no clear idea of how to restore it, and precious little building experience. Still, they were young and fit (they had met on Reuben's climbing wall) and they liked a challenge. So they bought the crumbling shell and set about transforming it with their own hands.</t>
  </si>
  <si>
    <t>David and Anjana Devoy's tiny coach house was proving too small for them and their two children. So they decided to build a new house in their own garden, which was big by London standards. But this particular grassy plot came with problems. It was overlooked by huge blocks of flats, and in the middle of it stood a chestnut tree they weren't allowed to cut down. They came up with an inspired solution: they would build a curving house along the borders of their plot. What's more, they would do a lot of the work themselves.</t>
  </si>
  <si>
    <t>Tom Watkins and Darron Copping wanted to build a house that would be home to them, their art collection and their two large dogs. Darron's passion for surfing meant it would also have to be near a beach. They already shared a timber beach house in a hamlet on the Sussex coast, and when a neighbour's bungalow came up for sale, they decided to buy it, demolish it and build a dazzling white modernist house in its place.</t>
  </si>
  <si>
    <t>Tony and Jo Moffat, musicians with Scottish Opera, had long dreamed of a home in the countryside. They found a perfect site on the Clyde estuary in Argyll and Bute. Located in a small village on a hillside, it had glorious views as far as the isle of Arran and was less than an hour's drive from Glasgow. Inspired by local oak-framed barns, they gave architect Andy McAvoy an open brief. In return, he gave them a design that fused medieval and modern and promised a beautifully simple interior. However, the construction was anything but simple...</t>
  </si>
  <si>
    <t>Amid 55 acres of organic farmland in the New Forest, Lizzie Vann and Mike Thrasher set out to build an idiosyncratic home. They wanted a house that would reflect their love of travel and eastern cultures, yet blend into the very English countryside around them. Their first proposal, for a wooden Japanese house, was refused planning permission, but after three years of adapting their ideas with architect David Underhill, they were finally ready to build. Their ingenious design was in three sections: a living wing, a bedroom wing and a romantic tower.</t>
  </si>
  <si>
    <t>Here we see an extraordinary and inventive project in South London. This house proves that even in the most crowded areas of our cities, there is potential for Grand Designs. When Monty Ravenscroft and Clare Loewe began looking for a house to buy in London they soon realised that the only affordable option was to build one themselves. They snapped up a dirt cheap slither of land in Peckham at an auction only to be told it was too small to put a house on. Undeterred, three years ago, engineering whiz Monty began building an extraordinary experimental bungalow that filled the site to bursting point.</t>
  </si>
  <si>
    <t>When lawyers Jeremy and Louise Brown walked into Upthorpe Farm in Gloucester, they couldn't believe their eyes. It was like stepping back in time. Apart from a few minor alterations, the Grade II listed 16th-century farmhouse had barely been touched for over 400 years and was completely unmodernised with lots of original features. Now that they've purchased the property their ambitious design plan is to bring the farmhouse into the 21st century, blending the original historic features with modern simplicity and luxury. Kevin watches on intrigued as they tackle the challenge of reconciling the very old and the very contemporary.</t>
  </si>
  <si>
    <t>John Cadney and Marnie Moon have never had a permanent home. So John, a carpenter, has rolled up his sleeves and decided to build a house for his family with his bare hands. For 16 years, John, Marnie and their children have camped on land owned by Marnie's parents, because they could never afford to buy a house in the area where they live. So now they're building their own place. After much searching for the right kind of house they settled on an environmentally friendly four-bedroom log cabin. The whole thing was imported from Finland as hundreds of pre-cut bits of wood. All John had to do is figure out how this kit house fits together!</t>
  </si>
  <si>
    <t>Kevin McCloud revisits John Flood and Eleni Skordaki, who completely gutted their Victorian terraced house in Hackney, London, to create an open, light, modern space. He discovers whether the struggle to modernise their home while dealing with an Anglo-German conflict between the builders was worth it.</t>
  </si>
  <si>
    <t>An update on Louise and Milko Ostendorf, who embarked on a project to convert an old violin factory in London into a luxury home. The work was threatened by a battle with their orchestral neighbours over a jointly owned wall, and Kevin McCloud returns three years later to find out whether their dispute has been settled.</t>
  </si>
  <si>
    <t>For the last 20 years, Pat Becker has been living in a large Georgian family house overlooking the sea in Devon. Now that her family have flown the nest and the house has grown too big for her, she's decided to build a new home at the bottom of the garden. Shaped like a curvy seashell, the new house has concrete and polystyrene walls, which spiral down from the central staircase. Her architect has promised it will take only six months to build but constructing a round house is never straightforward!</t>
  </si>
  <si>
    <t>Kevin McCloud returns to West Sussex to see how Ben Law's woodsman's cottage has changed. The house was built on a low budget, using methods dating back to the early medieval period with raw materials from the surrounding countryside. During the past 18 months the upstairs has been completed and the outside has been landscaped. Kevin also discovers how the property has changed Ben's life since the original programme was broadcast.</t>
  </si>
  <si>
    <t>This is Belfast, one of the great cities of the industrial revolution, and home to Thomas and Dervla O'Hare. They've lived here for 18 years, and although they still love their tiny cottage for its compactness, they're about to build something much, much bigger. They're building a 21st century answer to the Roman villa, with a copper roof, glass and concrete walls and vast amounts of living space all arranged around a central courtyard. In order to cope with the incredibly steep slope the house was divided across three levels. At the base of the building there is a garage and all the utilities. Through the front door a double-width processional staircase leads up to the living and dining areas.</t>
  </si>
  <si>
    <t>Kevin McCloud meets Julie and Mark Veysey, whose Grand Design is a stunning Miami-style beach house on a beachfront plot overlooking the south Devon coast. Julie and Mark have had several holidays in Miami, and Julie wanted to recreate the outdoor beachfront lifestyle back in England, living in a house full of light and sun, within easy reach of the waves. The house is very much Julie's vision and she is passionate about the design. It is a series of dazzling white interlocking boxes topped with a flat zinc roof.</t>
  </si>
  <si>
    <t>Jim Fairfull considers himself a very lucky guy. He was out fishing with a friend when he came across a beautiful, secluded loch. It's a magical place with stunning views over the nearby hills. He got chatting to the farmer who owned it and discovered the site was for sale. Within a week, he'd done a deal and bought the land. Jim runs a successful wholesale fruit and vegetable company in Glasgow and his wife, Simone, looks after their two girls, aged 11 and eight. Jim and Simone were not intending to self build. But they fell in love with this dramatic location and decided they wanted to live here.</t>
  </si>
  <si>
    <t>Robert and Jane Ellis decided to convert an isolated hilltop ruin in the Forest of Dean in Herefordshire. Adding modern steel and glass they created a mouthwatering contemporary structure. They decided to keep as much of the old barn as it is. The new additions are clearly modern and new, with a clear line separating old and new. The old barn was very dark with no real windows and since planners ruled that no additional windows can be added, they had to use as much of available light as they could. The result is a surprisingly bright space, filled with lots of steel, stainless struts, glass and the best of modern furniture, where new and old are sitting in a very easy dialog.</t>
  </si>
  <si>
    <t>Theo and Elaine Leijser hoped to bring a bit of Dutch style to Scotland in the building of their first family home – a colourful, contemporary three storey house, with a striking cedar clad exterior. The couple stumbled across the perfect plot overlooking the beautiful Campsie Fells near Glasgow, bought it and began to plan their dream build.</t>
  </si>
  <si>
    <t>For six years Bruno and Denise Del Tufo stared at the large concrete water tower at the bottom of their garden trying to figure out what to do with it. It's a very rare object – a square water tower on stilts designed by architect Edwin Lutyens, who built it to supply the manor house nearby. It's not exactly beautiful but Bruno and Denise feel very protective towards it. When they sold their house, they were worried that someone might knock the tower down, so they decided to try and find a way to live in this huge, concrete monster.</t>
  </si>
  <si>
    <t>Kevin McCloud revisits Denise (Deni) Daniel and Doug Ibbs. The couple, in their mid-50s and from Dorset, bought a 19th-century manor house in Creuse, Limousin – in central France – on a Sunday, having seen it for the first time ever on the previous Tuesday on the Internet and visited it on the Thursday. They don't mind hard work too, which is even better news because the house was a wreck.</t>
  </si>
  <si>
    <t>Kevin McCloud revisits Nicky and James Dobree. Nicky was raised in France, James in Beirut – both have fond memories of the mountains as children. So it was natural for them to one day look to buy a place amongst France's tallest peaks, the Alps.The journey moving the family, including their two young sons, Fabian and Felix, from South London to a renovated 300-year-old farmhouse in Les Gets was to have its ups and downs. It was never meant to be a permanent move. The original plan was to develop the top two floors of the chalet so the family could spend the summer there, overseeing the completion of the bottom floors. They would then be able to rent our the whole chalet in the winter months. The family were only planning to use their new home for the summer seasons.</t>
  </si>
  <si>
    <t>Charting the building plans of Peter and Christine Benjamin, who are hoping to construct a small retirement home within a walled garden in the grounds of the Edwardian manor house where they used to live. The proposed property has floor-to-ceiling glass on one side, with a traditional potting shed-style exterior on the other, but Peter's ambition to design as they build causes problems.</t>
  </si>
  <si>
    <t>Kevin McCloud revisits David and Anjana Devoy's who's tiny coach house was proving too small for them and their two children. So they decided to build a new house in their own garden, which was big by London standards. But this particular grassy plot came with problems. It was overlooked by huge blocks of flats, and in the middle of it stood a chestnut tree they weren't allowed to cut down. They came up with an inspired solution: they would build a curving house along the borders of their plot. What's more, they would do a lot of the work themselves.</t>
  </si>
  <si>
    <t>Eight years ago Alex and Cheryl Reay left London for a new life in the New Forest. They bought a run down medieval thatched cottage and lovingly brought it back to life. Then just before Christmas, with Cheryl pregnant, disaster struck. A fault in the chimney caused a massive fire which destroyed the entire building. Overnight Alex and Cheryl had lost almost £400,000. Whilst most people would have walked away from this, Alex and Cheryl couldn't let go of their dream. Nine months after the fire, they decided to start all over again and rebuild the cottage, bigger and better than before.</t>
  </si>
  <si>
    <t>Chris Miller and his wife Sze Liu Lai lived in a tiny flat in East London with their two children Alexion and Tayszea. It was very tight for space and as the kids grew they really felt in need of more room. Chris and Sze are both social workers on low incomes and they have very little in the way of savings. They did however own a small narrow boat, which inspired a solution to their 'no money, no space' dilemma. They decided to build a houseboat which would give them more space for a fraction of the price of a home on land. They began with an 86ft steel barge moored in a boatyard on the River Medway...</t>
  </si>
  <si>
    <t>James and Katrin Gray live in Bournemouth on the south coast. James runs his own book distribution business and Katrin works for an investment bank. They used to live in an apartment on the second floor of a former Victorian hotel. But three years ago, James bought the top floor flat. It was originally built as a solarium for the hotel in the 1920s where holiday-makers could soak up the sun. Now James and Katrin plan to convert it into a modern, luxury penthouse. The first project was to build a large rooftop extension which became the main living area of the new penthouse. This steel frame structure was cleverly knitted between all the obstructions on the roof and leads out onto a fabulous roof top terrace with exclusive views along the coast.</t>
  </si>
  <si>
    <t>Kevin McCloud returns to rural Wales to visit Andrew and Lowri Davies, who dreamt of replacing their cramped cottage with an environmentally friendly farmhouse built using state-of-the-art eco materials. The couple needed to reduce their mortgage and work to a strict budget - but after an argument with the architect, they found it increasingly difficult to balance the books.</t>
  </si>
  <si>
    <t>Dean Marks has dreamt of living in a church for as long as he can remember. After searching for the right building for years, he came across St Martin's near Birmingham, a huge 18th-century grade II listed church which looks more like a mausoleum. The church wanted £25,000 for it but Dean knocked them down to £12,500. Now, after fighting for planning permission for four years, Dean and his wife, Hilary, are about to transform this derelict monstrosity into a family home.</t>
  </si>
  <si>
    <t>Here we see an extraordinary and inventive project in South London revisited. This house proves that even in the most crowded areas of our cities, there is potential for Grand Designs. When Monty Ravenscroft and Clare Loewe began looking for a house to buy in London they soon realised that the only affordable option was to build one themselves. They snapped up a dirt cheap slither of land in Peckham at an auction only to be told it was too small to put a house on. Undeterred, three years ago, engineering whiz Monty began building an extraordinary experimental bungalow that filled the site to bursting point.</t>
  </si>
  <si>
    <t>Musicians Tony and Jo Moffat began building a home on the west coast of Scotland, investing in an architect who developed an experimental design emulating a Norwegian longhouse, using a medieval-style oak frame. However, the project soon hit problems, with rocketing costs leaving them struggling to continue. Three years on, Kevin McCloud revisits the couple to see how their creation has progressed.</t>
  </si>
  <si>
    <t>Kelly and Masoko Neville set about building not just a spectacular oak frame and straw bale house, but a whole new way of life in the Cambridgeshire Fens. Kelly is a carpenter by trade and has always dreamed of building an eco friendly home with his own hands. This highly sustainable house, sitting in harmony with nature and its surroundings, will become the base for Kelly and Masoko's new self-sufficient life where they will produce their own food and energy from the land.</t>
  </si>
  <si>
    <t>Kevin McCloud meets a couple who bought a ruin and moved to Italy in 1999, hoping to start work building their dream home in Tuscany. Since then they've spent all their time trying to get planning permission, but finally, after four years, they are about to start work. And it's an epic project: they have bought a derelict 1,000-year-old castle in the Tuscan hills. Now, the couple face their biggest battle of all: rebuilding this massive ruin into a comfortable and luxurious five-bedroom home.</t>
  </si>
  <si>
    <t>Bill and Sarah Bradley are a couple whose dream of living mortgage-free rests on building not one, but two timber framed houses in south London. Building on the site of Bill's old wood workshop, the couple plan to sandwich the houses in between two existing rows, leaving them overlooking, and overlooked, by over twenty neighbours. To get around these difficulties Bill and Sarah's houses will use oblique windows, skylights and double height glazed courtyards to create two beautiful but private homes. But before long the budget is soaring and Bill's desire to go more luxurious and high spec leaves their dream of debt free living looking ever more remote.</t>
  </si>
  <si>
    <t>A couple, Zoe and Tim Bawtree, who live in a Regency house in Cheltenham that is expensive to run decide to sell up and build a modern low maintenance house in their back garden. However, height restrictions mean they have to build 60 per cent of their new home underground and neighbours make 90 complaints about their planning application. Undeterred, the pair continue as planned, but the project encounters further problems including the departure of the builders.</t>
  </si>
  <si>
    <t>Kevin McCloud meets a commercial surveyor, Henry Chopping, with an £800,000 budget who is planning to build an unusual home in Oxford. His chosen plot is situated behind a listed wall and strict planning conditions mean the house has to be only one storey high. With the help of an architect, the owner comes up with a design that makes the most of the land and available light, but his perfectionist nature causes the project to run behind schedule.</t>
  </si>
  <si>
    <t>An architect, Martin Pease (and Katherine) plans an unusual home for his family where everything is white and open plan. He calls upon his experience of designing commercial buildings to build the house and uses materials and systems more commonly used in office projects. The biggest risk is that his house may look more like a car showroom than a comfortable retreat.</t>
  </si>
  <si>
    <t>A couple, Jo and Shaun Bennett, with a love of gothic architecture and horror movies plan to use their budget of £250,000 to build an Addams Family-style house, complete with a stained glass window, a stone fireplace and an oak staircase featuring gargoyles. However, completing the five-bedroom house on limited funds proves difficult.</t>
  </si>
  <si>
    <t>A couple, Pru and Richard Irvine, decide to build a family home on an industrial site in the Midlothian countryside complete with lime kilns, but are only allowed to do so if they become custodians of the kilns and their house blends in with the landscape. This proves challenging for the pair as they want to build a modern property that could be seen as a blot on the landscape to the locals. The task is made all the more demanding when they underestimate the long hours needed to be a project manager.</t>
  </si>
  <si>
    <t>Rather than go down the traditional building route, Tiffany and Jonny Wood opted for a German pre-fabricated kit house with great green credentials. Before they could even think about building their house they had to prepare their site: a fiercely steep hillside. Tiffany and Jonny embarked on the biggest ground works project Grand Designs has ever seen, costing around £300,000. And, just when they were about to complete these mammoth works, the weather turned bad and disaster struck. Their neighbour's wall collapsed in a storm. The resulting damage could have cost them nearly £100,000. Determined to carry on, even through 80 tonnes of extra mud, Tiffany and Jonny persevered, and a year into their project, were finally able to go to Germany to choose their house. Every fixture and fitting had to be decided and, once made, no changes were allowed. Now, with the promise of the house taking only five days to go up on site, and with no possibility of landslides, hopefully their build will now run smoothly...</t>
  </si>
  <si>
    <t>Kevin McCloud revisits artists David Westby and Leonie Whitton three years after they bought an olive farm in the Puglia region of Italy and planned to convert it into a home on a budget of £25,000. The project proved difficult due to their lack of experience and problems with Italian planning laws. When the presenter last visited they had built a guest house but their own residence was untouched.</t>
  </si>
  <si>
    <t>Revisited  - Peterborough: The Wooden Box (Revisited from S3 Ep1)</t>
  </si>
  <si>
    <t>Five years ago, John and Terri Westlake built a timber box that even they weren't sure about on the edge of a forest in the middle of open countryside. Now Kevin's back to see whether they've warmed to the design, and what life is like living the modernist dream in splendid rural isolation.</t>
  </si>
  <si>
    <t>Checking on the progress of a couple, Greta and David Iredale, with a building background who replaced the timber house they designed themselves more than 40 years ago with a Huf Haus that was constructed by an efficient German construction team in just six days. Kevin McCloud finds out how successful the pair were in personalising the inside of the property.</t>
  </si>
  <si>
    <t>Kevin McCloud returns to a Surrey village, where brain tumour sufferer Philip Traill and his wife Angela created a high-spec contemporary house in the shell of a barn. The design involved two bedroom pods connected by a walkway, leaving an open-plan living space between. Five years on, the presenter discovers whether the couple have managed to turn the building into a relaxing family home.</t>
  </si>
  <si>
    <t>In Maidstone, Jean and Bill Letley, a septuagenarian couple plan a highly contemporary bungalow complete with underfloor heating and prototype steel foundations. The project would test even the most accomplished workmen, but is left to their daughter and son-in-law, who have little building experience and have to make personal sacrifices.</t>
  </si>
  <si>
    <t>Inspired by an illustration on a yoghurt pot, Chris Ostwald decides to build a New England-style water mill in the Chilterns, on a hill and nowhere near any water. Londoner Chris bought the plot 20 years ago and it has always been his dream to build a retreat for himself and his family.</t>
  </si>
  <si>
    <t>Sarah and Dean Berry grew up on a council estate in Newport. Having moved away to London and made good, they have now returned home 17 years later and bought an 18th-century folly – a castle perched on a hilltop. They not only plan to restore the folly to its former glory, but wrap a large modern extension around the original structure, with lots of glass to capitalise on the amazing views.</t>
  </si>
  <si>
    <t>Daren Howarth and partner Adi Nortje live in Brighton, and are champions of sustainable living. They want to build an earth-sheltered home from recycled materials, based on ideas pioneered in the 1970s in New Mexico. But land prices and planning laws have forced them out of England, across the Channel to Brittany, in France.</t>
  </si>
  <si>
    <t>Kevin McCloud meets dairy farmer Andrew Ainslie and his artist wife Meryl, who runs a gallery on their farm in Wiltshire. But their farmhouse has been separated from their land by the expanding village, and Andrew and Meryl want to build a new house at the heart of their farm, so they can keep an eye on their herd of 200 cattle.</t>
  </si>
  <si>
    <t>Mimi D'Costa and her husband Andre have moved to the Kent countryside to bring up their two boys. They have bought a large plot of land and want to build a home on it that is functional enough to serve their young family, but that will also blend beautifully into the landscape.</t>
  </si>
  <si>
    <t>Not everyone gets to live out their childhood dreams, but Francis Shaw did exactly that when he bought a crumbling castle on English Heritage's Buildings at Risk Register. Little did he know what he was letting himself and his family in for. In the heart of the Yorkshire Dales, the peel tower dates back to the 15th century and was protected as a Scheduled Ancient Monument. Kevin McCloud returns in this program to see if their dreams have become a reality.</t>
  </si>
  <si>
    <t>In 2005, Kelly and Masoko Neville set about building a spectacular oak framed and straw baled hexagonal house in the Cambridgeshire Fens. Kelly, a carpenter, had always dreamed of building an eco-friendly home that could provide a base for a new self-sufficient life where he and Masoko could produce their own food and energy from the land. Kevin returns to see their progress from series 7.</t>
  </si>
  <si>
    <t>Barry Surtees, a self-made property developer, his wife Julie and their teenage children live in a large comfortable house in Brighton's most moneyed suburb. Barry decides to build a four storey modern mansion, complete with pool, gym, artist's studio, fantasy bedroom and Japanese roof garden.</t>
  </si>
  <si>
    <t>Kevin McCloud revisits Alex and Cheryl Reay, who eight years previous had left London for a new life in the New Forest. They bought a run down medieval thatched cottage and lovingly brought it back to life. Then just before Christmas, with Cheryl pregnant, disaster struck. A fault in the chimney caused a massive fire which destroyed the entire building. Overnight Alex and Cheryl had lost almost £400,000. Whilst most people would have walked away from this, Alex and Cheryl couldn't let go of their dream. Nine months after the fire, they decided to start all over again and rebuild the cottage, bigger and better than before.</t>
  </si>
  <si>
    <t>In Woodbridge, Lucie Fairweather and Nat McBride plan a responsible, low impact, ecologically sensitive home for their young family. Nat tragically succumbs to cancer early in the build, leaving Lucie to continue on her own with a downsized version of the original design.</t>
  </si>
  <si>
    <t>Kevin follows Simon and Jill Bennett's conversion of two timber framed barns. However, one has turned out to be a medieval guild hall.</t>
  </si>
  <si>
    <t>Lindsay and Jonathan Belsey hopes to build a house that aesthetically pleasing, cheap to run and ecologically sound.</t>
  </si>
  <si>
    <t>Alan Dawson attempts to build house like a giant Meccano set, in that he will make the pieces in a workshop and then assemble it all on site.</t>
  </si>
  <si>
    <t>Kevin returns to see whether Bill Bradley has completed the work on his two timber houses in south London.Bill and Sarah Bradley are a couple whose dream of living mortgage-free rests on building not one, but two timber framed houses in south London. Building on the site of Bill's old wood workshop, the couple plan to sandwich the houses in between two existing rows, leaving them overlooking, and overlooked, by over twenty neighbours. To get around these difficulties Bill and Sarah's houses will use oblique windows, skylights and double height glazed courtyards to create two beautiful but private homes. But before long the budget is soaring and Bill's desire to go more luxurious and high spec leaves their dream of debt free living looking ever more remote.&lt;br&gt;</t>
  </si>
  <si>
    <t>Six years after his first visit, Kevin returns to see how the O'Hare's fared with their split-level home cascading down a practically vertical hillside in Belfast.This is Belfast, one of the great cities of the industrial revolution, and home to Thomas and Dervla O'Hare. They've lived here for 18 years, and although they still love their tiny cottage for its compactness, they're about to build something much, much bigger. They're building a 21st century answer to the Roman villa, with a copper roof, glass and concrete walls and vast amounts of living space all arranged around a central courtyard. In order to cope with the incredibly steep slope the house was divided across three levels. At the base of the building there is a garage and all the utilities. Through the front door a double-width processional staircase leads up to the living and dining areas.&lt;br&gt;</t>
  </si>
  <si>
    <t>Kevin McCloud returns to see the Sampson family in France.Mark and Deborah (Debbie) Sampson and daughter, Tilley, like to practice an ecologically sound way of life. Together, the family's over-riding desire is to make a statement about who they are and how they choose to live their life, and to be accepted for the way they are by the local people.&lt;br&gt;</t>
  </si>
  <si>
    <t>Over ten years ago, as one of Grand Design's first projects, Andrew Tate and Deborah Mills found a site with a monstrous, dilapidated, 100 foot tall water tower on it. Unusually, they saw it as the perfect spot to build a contemporary family home and convert the old water tower into a seven-storey bedroom wing. Andrew is a commercial architect and so the modern new build went up in just four months, using fast-track methods alongside unconventional building materials. However, things were not so easy when it came to the three feet thick water tower: a doorway they expected to be made in two days, took two weeks. Kevin went back to see Andrew and Deborah three years after they had moved into their contemporary extension, but they had still made no progress on the water tower, and were living with minimal bedroom space. Now Kevin returns again to see if the water tower conversion has finally happened, and if their dream home has worked out just as they envisaged all that time ago.</t>
  </si>
  <si>
    <t>Kevin returns to see how Pru and Richard Irvine fared one-and-a-half years after they began building their bespoke home in the Midlothian countryside.A couple, Pru and Richard Irvine, decide to build a family home on an industrial site in the Midlothian countryside complete with lime kilns, but are only allowed to do so if they become custodians of the kilns and their house blends in with the landscape. This proves challenging for the pair as they want to build a modern property that could be seen as a blot on the landscape to the locals. The task is made all the more demanding when they underestimate the long hours needed to be a project manager.&lt;br&gt;</t>
  </si>
  <si>
    <t>Kevin McCloud looks at the transformation of a derelict mill cottage in Northumberland into a contemporary family home, the longest-running project ever featured on the programme. Stefan Lepkowski and Annia Shabowska began work in 2006, and their ambitious plans involved restoring the Georgian building, reconstructing a watermill and adding a steel-and-glass atrium, but their budget of £250,000 was completely inadequate.</t>
  </si>
  <si>
    <t>Kevin McCloud meets Paul and Penny Denby, who are demolishing their mock-Georgian home on an exclusive south London estate to replace it with a contemporary mansion. The couple have no building experience and they struggle with many design decisions, finding themselves £250,000 short of the amount needed to finish the property.</t>
  </si>
  <si>
    <t>Kevin McCloud meets Tim and Philomena O'Donovan, who are trying to convert a lifeboat station in Tenby, Pembrokeshire, into a contemporary home and preserve the historic building for posterity. A weather-worn, rusting and rotting hulk that was never designed for habitation, it is perched on a steel pier 40ft above the sea and can only be reached by crossing the sandy beach at low tide.</t>
  </si>
  <si>
    <t>Kevin McCloud follows the conversion of a large, Grade II-listed timber-framed barn in Essex into a family home and work-space by artists Freddie Robbins and Ben Coode-Adams. Their plans involve few interior walls to display their collection of toys, but at seven times the size of an average three-bedroom house, the transformation of the 500-year-old building proves extremely challenging.</t>
  </si>
  <si>
    <t>Kevin McCloud meets estate manager Ed Waghorn and his wife Rowena, a couple living an almost self-sufficient life with their four children on a smallholding in Herefordshire. They have been constructing a timber-framed house using recycled materials, wood from nearby forests and stone from around the site, but as construction becomes a way of life for Ed they seem to have lost sight of their goal.</t>
  </si>
  <si>
    <t>Stonemason Adam Purchase and his partner Nicola Brennan try to restore a dilapidated Grade II-listed engine house in Cornwall, which was formerly part of a silver mine. With a budget of £100,000, Adam takes a year off work to transform the property into a new home, but has to rely on favours to complete the project before he runs out of time.</t>
  </si>
  <si>
    <t>Kevin McCloud meets Claire Farrow and Ian Hogarth, who are trying to construct a home containing a sauna, spa, dance floor and DJ booth on a small patch of land in London. They have applied for planning permission to include a basement and started work on the construction, but setbacks including their digger smashing into a neighbour's wall and the re-emergence of the old river under the project threaten to prevent them completing the build.</t>
  </si>
  <si>
    <t>Kevin McCloud revisits Robert and Milla Gaukroger, who were in danger of their bank foreclosing on their unfinished timber house with views of Lake Windermere when he last saw them. They had begun construction with only a quarter of the £400,000 budget needed, and the physical effort of turning the 1980s property into an eco-home that mirrored the surrounding mountains had begun to put Robert's health at risk.</t>
  </si>
  <si>
    <t>Kevin McCloud revisits an arch-shaped home made of clay tiles in the Weald of Kent, built by Richard Hawkes, who designed the property, and his wife Sophie. It was intended to be self-sufficient in energy and supply some to the national grid but serious problems occurred when the arch collapsed during construction, so the presenter returns to see if their innovative home has lived up to its promise.</t>
  </si>
  <si>
    <t>Kevin McCloud revisits Denise and Bruno Del Tufo, who hoped to transform a concrete water tower designed by Edwin Lutyens into a contemporary home. Kevin was originally far from enthusiastic about their project, believing the original building to be ugly and brutal in its design – but the couple soon had other problems to worry about, as rising steel prices forced them to make drastic changes to their budget.</t>
  </si>
  <si>
    <t>Kevin McCloud revisits Alan and Judith Dawson in west Cumbria, where they began constructing a prefabricated home in 2009. They employed a method of building that should have allowed them to assemble the home in just 15 days on a budget of £300,000, and the presenter returns to find out whether they were successful.</t>
  </si>
  <si>
    <t>Kevin McCloud revisits a couple who took on the task of constructing a sustainable two-storey timber house heated by glass panels in the Kent countryside. Mimi da Costa managed the project despite a lack of experience, while her husband worked, and intended to have it completed in 16 weeks. But as the complex build threatened to drag on for months it became unclear whether their home would succeed in blending into the landscape and providing them with a greener, healthier lifestyle.</t>
  </si>
  <si>
    <t>Kevin McCloud meets more people trying to build dream homes, beginning with Sean Simons, who bought the ruins of Cloontykilla Castle in the Irish county of Roscommon with a view to using them to create a spectacular mock-16th-century home. However, the outlandish plans - including jacuzzis in the battlements and water-spouting gargoyles - have Kevin worried the project could become a garish nightmare, and his scepticism increases when he realises Sean has not consulted an architect. Disaster seems to be looming as the contractors get frustrated and planning regulations are ignored, but somehow things begin to slowly take shape - until a national economic crisis plunges everything into chaos.</t>
  </si>
  <si>
    <t>Kevin McCloud meets a pair of civil-partnered university professors who have decided to build their first home from scratch. In addition to all the complications this usually entails, Celia Brackenridge and Diana Woodward have also enlisted the services of industrial designers who have developed a new computer-assisted method for cutting precision-engineered building blocks from scratch. However, though the technique may be clever, its creators have never created a building before - meaning everyone involved with the project is taking a giant leap into the unknown.</t>
  </si>
  <si>
    <t>Mary Martin and Carl Turner want to build a home that resembles a giant stack of glass cubes in Brixton, south London. The couple are hoping the structure will become an instant landmark, while on the inside they are planning a Zen retreat. But to succeed, their finances must be pushed to their limit, so Carl takes on as many of the specialist jobs as he can to save money. Kevin McCloud follows their progress.</t>
  </si>
  <si>
    <t>Kevin McCloud follows Lysette and Nigel Offley, who are knocking down an old Thames boathouse and constructing a cutting-edge home in its place. Taking inspiration from the river itself, they have designed a building of waves and curves with a huge glass porthole for a roof light. But problems begin almost from the start, as they can't find a contractor willing to build over the water, their architect leaves unexpectedly and the costs turn out much higher than expected. To make matters worse, the neighbours aren't happy about such a radical sight in their traditional community. As they begin to compromise, Kevin wonders if the couple's dreams will ever be realised.</t>
  </si>
  <si>
    <t>Kevin McCloud marks the 100th episode with one of the programme's most ambitious projects to date. Leigh Osborne and Graham Voce want to convert and extend a landmark 150-year-old water tower in central London into a luxury home. Grade II listed, derelict and with 6ft-thick walls, it's a huge challenge for the pair, who also plan to build two structures at the base - a lift shaft connected by a series of glass tunnels, and a modern living space. The result will be a four-bedroom property over nine floors, complete with a room at the top offering spectacular 360 degree views across the capital. The tower, which is located directly above London Underground's Northern line, was originally built for Lambeth Workhouse in 1877 and became a Grade II listed building in 2008.</t>
  </si>
  <si>
    <t>Kevin McCloud meets Audrey and Jeff, who dream of living in one of west London's most exclusive areas. However, the only way they can afford it is to go underground. Their plan is to transform a listed Edwardian artist's studio - along with 5,000 sq ft of derelict basement - into a bespoke subterranean home, complete with supersize kitchen, mezzanine sitting room, four en-suite bedrooms, a gym, cinema, steam room and wine cellar. As if the task weren't tricky enough, they are doing it without proper architect's drawings and Audrey is project managing - and the difficulties begin almost from the start.</t>
  </si>
  <si>
    <t>Kevin McCloud meets artists Indi and Rebecca, who are planning to build a modern, larch-clad home on the Isle of Skye, with a second hand-crafted building alongside to use as their studio, all on a tight budget of £150,000. They have been saving for years, but making it happen will mean taking on the savage weather, not to mention the sceptical locals - and as if that weren't enough, most of the work is being done by one man, local builder Donald.</t>
  </si>
  <si>
    <t>Architect Henning Stummel and his partner Alice Dawson plan to convert a dilapidated joinery workshop in north London into a contemporary family home and office. They want to preserve the building's original steel frame, but to restore it they will have to take it down, which means carefully extracting it from the neighbours' walls without causing damage to their property - and that's just the start of the couple's problems. Kevin McCloud follows their progress.</t>
  </si>
  <si>
    <t>Two years ago, architectural designer Lincoln Miles and his wife, artist Lisa Traxler, found an uninspiring 1970s bungalow on a plot on the Isle of Wight surrounded by ancient woodland. As part of their renovation project, they added a three-storey "tower" extension and used a range of unconventional techniques and alternative materials. Kevin McCloud returns to find out whether the couple's methods led to success.</t>
  </si>
  <si>
    <t>In 2010, Claire Farrow and Ian Hogarth built a home containing a sauna, spa, dance floor and DJ booth on a small patch of land in London. It was a notorious project, with several setbacks - including their digger smashing into a neighbour's wall and the re-emergence of the old river under the building, which threatened to prevent them completing the project. Kevin McCloud revisits the couple to see how they are getting on two years later.</t>
  </si>
  <si>
    <t>Kevin revisits artists Freddie Robbins and Ben Coode-Adams who converted a large, Grade II-listed timber-framed barn in Essex into a family home and work-space. Their plans involve few interior walls to display their collection of toys, but at seven times the size of an average three-bedroom house, the transformation of the 500-year-old building proves extremely challenging.</t>
  </si>
  <si>
    <t>Kevin revisits the co-op. Started in 1998, this development of ten timber frame houses is based on the Walter Segal method of construction and was led by Jenny and Paul Crouch. They incorporate high levels of Warmcell insulation and benefit from south-facing solar gain. The roofs are of sedum. Episode Revisited on 13 March 2001.</t>
  </si>
  <si>
    <t>Kevin McCloud follows a project to renovate and extend a classic 1920s cinema in Thorne, South Yorkshire. With little knowledge of restoration, Gwyn and Kate boldly set about turning the dilapidated building into a family home using masses of concrete after taking advice from an architect friend. The couple are hoping to create a hydraulic glass wall that opens up one side of the house to form a UV-filtered canopy, and there are also plans for a white roof extension that resembles a diving board.</t>
  </si>
  <si>
    <t>Jonathan Broom, one of the founders of Ecoigo, and his wife Deborah have put everything on hold while he pursues his dream of building a miniature Hollywood Hills-style mansion. They stumble across a scrap of land in north London, but it's fraught with problems and the only way they can complete the £1million home is by sinking half of it six metres below ground. Surrounded on all sides by their neighbours' back gardens, the couple have to dismantle walls and fences and promise to put them back together again, and that's just the start of their difficulties. Kevin McCloud follows their progress.</t>
  </si>
  <si>
    <t>Commercial architect Martin Walker and his art-director wife Kae want to build the ultimate family home near York, inspired by a giant farm shed. However, her idea for a warm and cosy design conflicts dramatically with his penchant for building large square warehouses, and finding something they both agree on proves extremely challenging on their tight budget. Kevin McCloud follows the couple's progress.</t>
  </si>
  <si>
    <t>Marine captain Jon's life changed for ever when he stepped onto a land mine in Afghanistan and lost three limbs. After viewing many uninspired specialist homes and considering awkward conversions, he and partner Becky realised their best option was to build a property themselves. The design is cutting-edge, with sleek glass walls, open-plan spaces and a dramatic wing-like roof, and the couple want there to be no noticeable adaptations. However, they soon use up their budget of £250,000 and encounter problems with their incredibly tight schedule. Kevin McCloud follows their progress.</t>
  </si>
  <si>
    <t>Colin Mackinnon and his partner Marta Briongos take on an ambitious project to build a bespoke metal home next to an airfield runway, designed by one of Scotland's most eminent architects and inspired by aircraft hangars. They have to contend with violent rain, snow, 100mph winds and the worst storms for 100 years, and the couple have to draw on their reserves of mental energy as what was supposed to be a 12-month build heads into a third year.</t>
  </si>
  <si>
    <t>Kevin McCloud meets Tamayo Hussey, who has missed Japan ever since she moved to the UK 14 years ago with her husband, quantum physics professor Nigel. The couple want to transform a 1960s forester's lodge into a unique Japanese house, complete with a tatami room - decorated in her homeland's traditional style - sliding paper walls and a bath on the roof. Keen to keep costs down, they have decided to engage only the design skills - rather than the full services - of an architect, so with no previous building experience they tackle the project alone.</t>
  </si>
  <si>
    <t>Ben and Rachel Hammond have spent a year searching London for somewhere exciting to live with their two daughters, and they have finally stumbled on a 1950s home on a unique plot, situated within the leafy depths of a park in the south of the city. The only problem is the house itself - an ugly, inefficient and uninspiring property - and their solution is to radically redesign it into a sleek, modernist masterpiece. But this is no easy task, as Kevin McCloud finds out.</t>
  </si>
  <si>
    <t>Kevin meets Kevin McCabe who wants to build what may be the largest Cob structure in the world. With 6 metre-tall walls, McCabe fights a battle with the weather and his implausibly small £350,000 budget. He plans to form the huge property out of two vast curved roundhouses - the largest of which is inspired by the natural geometry of a snail shell - connected by glazing and topped with wildflower meadow roofs to mirror the surrounding countryside. However, the project involves mixing and laying a mind-boggling 2,000 tons of cob, all during warm, sunny weather - and the sheer scale of the task soon becomes clear.</t>
  </si>
  <si>
    <t>Michael Butcher and Phil Palmer fell in love with Christmas Farm, near Newbury, and decided to give up their urban media jobs and move to the country. Michael and Phil want to bring a touch of urban glamour to their new home at Christmas Farm by creating a modern farmhouse that combines an open-plan party pad with functional spaces below. As the builders set to work on the handcrafted flint exterior, complete with a vast trapezoid window, the pair juggle construction with farming the land, and in an attempt to make the project work financially, they set up a microbrewery in the barn.</t>
  </si>
  <si>
    <t>Around ten years ago Gil and Hillary Briffa retired to southern Spain. Instead of creating a home like the traditional old fincas in the area, their architect son designed them a confrontational, modernist glass box, surrounded by boldly colourful connected rooms, behind a giant citadel wall. A few years ago, Gil died, but now Kevin McCloud revisits Hillary to find out whether her home has settled into its landscape and how life is treating her as a British widow living abroad.</t>
  </si>
  <si>
    <t>Six years ago Lucie Fairweather and Nat McBride began to build an affordable eco home in Woodbridge for themselves and their two young children. However, their journey was to be about more than bricks and mortar. Just before they got started, Nat discovered he had cancer, and after just a few months he died. Lucie decided to carry on with the project Nat had devised. Kevin McCloud returns to find out just how life has moved on for Lucie and to discover whether her wonderful and striking house has become part of the landscape.</t>
  </si>
  <si>
    <t>Rob Hodgson and Kay Ralph plan to build a sleek glass-fronted house on a crumbling clifftop in Gwynedd, taking inspiration from the villas of California. However, access will be extremely difficult and expensive because of a low bridge over the narrow track to the site, and problems arise when one of the heaviest storms in recent history batters the coast. To make matters worse, erosion specialists predict the property could fall into the sea within just 60 years and the pair are prohibited from reinforcing the cliff face.</t>
  </si>
  <si>
    <t>Product designer Rebecca Sturrock has returned to her family home in Cornwall with her partner Gregory Kewish and a highly ambitious plan. Together they hope to transform a small, damp bungalow into a cutting-edge home to share with their twin three-year-old daughters - all for just £80,000. The design is radical - to reinforce the walls of the old property and add a new living space on top to take advantage of the views. This extra floor will be made entirely of thick wooden panels engineered in Germany and normally assembled by a crew of specialist installers. However, budget constraints mean the couple are determined to do it all themselves.</t>
  </si>
  <si>
    <t>GP Peter Berkin and his wife Chard, an alternative medicine practitioner, have decided to build a new home at the bottom of their garden, but cannot agree on any part of the design - even the basic shape. Peter is a keen hobbyist who wants the house to feature a workshop where he can build a plane, and he's planning to spend twice the £200,000 budget Chard has in mind. Kevin McCloud follows their progress.</t>
  </si>
  <si>
    <t>Architect Patrick Bradley has come up with an unusual £100,000 house design built out of four 45ft shipping containers, welded together to form a giant cross and cantilevered over the top of a stream on the family farm in County Londonderry. His mother is hoping the new home will help her son find a girlfriend, but the small budget and tight schedule soon pose problems</t>
  </si>
  <si>
    <t>Tracy Fox and husband Steve want to build an "urban shed" featuring two studios, three bedrooms and a double-height space with a walkway, made out of industrial-style materials including corrugated cement fibreboard and 20ft panels of polycarbonate sheeting. Having discovered an old milk yard tucked away behind some flats and shops in south-east London, their long-held desire to build a highly unconventional family home and workspace begins. But their choice of unorthodox materials proves challenging and costly.</t>
  </si>
  <si>
    <t>Natasha Cargill wants to build a home shaped like two enormous periscopes in rural Norfolk, but to obtain planning permission, she has to ensure not only that the materials are sustainable, but also agree to measure the transportation used to deliver them. If these strict criteria are not met, she won't be allowed to live there, and to add to the pressure, she has just £330,000 to spend on construction and six months to complete the project</t>
  </si>
  <si>
    <t>Kevin McCloud follows software executive Andy Bruce and garden designer Nicki Bruce, who are planning to build a "floating" house on the River Thames, which would be the first of its kind in the UK. Their architect has come up with an ambitious, experimental design that would see the whole property magically rise up with the flood waters. However, no one knows whether it will work, and the project soon becomes bogged down in the logistical challenges of bringing to fruition such a complex structure on a small island that is only accessible by a narrow footbridge.</t>
  </si>
  <si>
    <t>Kevin McCloud revisits a memorable restoration project in the remote Creuse region of central France. Back in 2003, when Denise Daniel and Doug Ibbs gave up everything in the UK to start a new life abroad, they couldn't have known what was ahead of them. Falling in love with a dilapidated manor house with just four crumbling walls and half a roof, they embarked on a mission to transform it - working day and night, doing everything themselves, year after year - until slowly but surely they created a magnificent edifice out of the ruins they bought off the internet. It's now the 70th anniversary of the destruction of the original 19th-century building by the German army - and the house is finally finished.</t>
  </si>
  <si>
    <t>Kevin McCloud revisits a unique Japanese-Welsh fusion home in the Wye Valley, completely transformed from a damp old forester's house in 2013. Tamayo Hussey has missed Japan ever since she moved to the UK 15 years ago with her husband Nigel. To stave off the homesickness they decided to turn the property into a one-of-a-kind home, complete with roof bath, tatami room and sliding paper walls. Kevin finds out how this somewhat improvised building weathered one of the wettest winters on record and if it has brought the calm and tranquillity Tamayo remembers from her childhood in the Far East.</t>
  </si>
  <si>
    <t>Kevin McCloud returns to Devon for an update on an inspirational build. Royal Marine Captain Jon White and his wife Becky were living happily in a small cottage when in June 2010, while serving in Afghanistan, Jon stepped on an improvised explosive device, losing three limbs. Every part of their lives had to change - starting with where they could live. Their architect came up with a cutting-edge, semi open-plan building with a dramatic wing-like-roof - and crucially no obvious signs of adaptations for Jon's disabilities. Has the new home proved as enabling for the couple and their expanding family as they had hoped?</t>
  </si>
  <si>
    <t>Kevin McCloud presents the first of four special programmes inspired by 15 years of Grand Designs. He begins with a look at the challenges of self-building in the city, where space is at a premium and architects have to be at their most ingenious. Kevin uses footage from the best urban builds from the show over the years, meets pioneers at the forefront of the latest architectural thinking and looks at clever innovations that continue to transform people's lives to reveal which designs work best and why.</t>
  </si>
  <si>
    <t>In the second of four special programmes, Kevin McCloud looks at the challenges of self-building in the UK's most remote places, where beautiful landscapes often meet savage weather. Drawing on footage from 15 years of the programme, as well as new visits to extraordinary and incredible homes, Kevin reveals which designs work best, and why. Along the way, he interviews pioneers at the forefront of architecture in the wilderness and sees the astonishing lengths people go to live on the edges of society.</t>
  </si>
  <si>
    <t>Kevin McCloud reveals how self-builders in the suburbs are transforming this most maligned of residential environments. He draws on some of the best examples from the 15-year history of Grand Designs, talks to experts in the latest architectural thinking and reveals the designs that have reinvented the suburbs as a place where home-owners really can have it all.</t>
  </si>
  <si>
    <t>Kevin McCloud looks at the challenges of self-building in the countryside, where design must embrace and enhance tradition, yet often overcome stringent planning constraints. Drawing on footage from the show's 15-year history, as well as new visits to extraordinary homes, he finds out how pioneers at the forefront of architecture are transforming agricultural and historic buildings, and bringing cutting-edge contemporary design to rural parts.</t>
  </si>
  <si>
    <t>Kevin McCloud meets Clinton Dall from Sussex, a self-made businessman and father of four aiming to build one of the largest homes ever featured on the show. Dall wants the end project to be perfect - from the finish of his mirrored cruciform steel columns, to how the floor tiles line up with the dining room table, and is willing to spend whatever it takes to achieve his vision. However, the construction represents a huge risk, as down one road lies abject failure and financial ruin, while down the other, is the creation of something sublime and almost heroic.</t>
  </si>
  <si>
    <t>Boat enthusiast James Strangeways invites Kevin McCloud to survey progress on the construction of his new home, which his architect nephew Ben Hebblethwaite has designed to be as 'un-houselike' as possible. James has spent the past 35 years travelling the canals and waterways of Britain, and despite never liking houses, has decided now is the time to put down roots on dry land. Ben hoped a home standing on stilts above a marsh, and incorporating ship-like qualities such as a keel-shaped roof, will be enough to satisfy his boat-mad uncle. However, Ben's contractor goes into liquidation a few months into the project, taking £87,000 of the £300,000 budget, and when James decides to make a few tweaks to the design, alarm-bells begin to ring for the young architect.</t>
  </si>
  <si>
    <t>After recovering from a life-threatening brain haemorrhage, Bram Vis, his wife Lisa and their two children want to build a house for sharing on a seaside plot on the Isle of Wight. Kevin McCloud follows the family's progress as they build an ambitious home complete with entertaining spaces and a swimming pool. However, the sheer scale of their project soon becomes clear when their original £850k budget spirals out of control.</t>
  </si>
  <si>
    <t>Kevin McCloud follows the progress of 37-year-old Angelo Mastropietro, as he transforms a damp, dark and abandoned cave in Worcestershire. Having recently been diagnosed with multiple sclerosis, Angelo wants to create a retreat to help him cope with the news and become a 21st century caveman. He has a budget of £100,000 and plans to almost single-handedly carve, cut and drill into the hillside to make the cave comfortable for contemporary living. However, there is no manual for a project of this kind, and the unique challenge soon becomes an obsession.</t>
  </si>
  <si>
    <t>Kevin McCloud follows the progress of teacher Michele Long and architect Michael Howe, who want to restore and transform a 100-year-old blacksmiths in County Antrim near Portrush,near the coast of Northern Ireland. With virtually no practical experience, Michael wants to do as much of the project as possible by himself. However, the weather on the coastline is fierce, and the freezing weather coupled with a tight budget of 150k means the build is stretched from one to three years.</t>
  </si>
  <si>
    <t>Kevin McCloud follows the progress of private chef Ed Versluys and Pilates instructor Vicky Anderson, who want to convert a concrete cow-shed in the Somerset countryside into a three bedroom home. With the help of one young builder and the knowledge they can learn from the Internet, the couple plan to project manage the conversion themselves. However, they have only seven months and a budget of just over £200,000 to make a warm and comfortable home with straw bale walls and wide expanses of glass.</t>
  </si>
  <si>
    <t>Kevin McCloud follows the progress of Stephen Yeoman and Anita Findlay, who want to build a cutting-edge, post-industrial house covered in rusty metal. However, their prominent riverside plot in the traditional and architecturally conservative area of South Downs means everyone will be watching. The project proves to be a real rollercoaster when the fitting of the rusty steel cladding goes wrong, cash flow problems threaten to bring work to a halt, and the couple announce that a baby is on the way.</t>
  </si>
  <si>
    <t>Kevin McCloud revisits Andy and Nicky Bruce who were building an experimental amphibious house on a small island on the Thames in Buckinghamshire. They spent £1.2 million on one of the most ambitious Grand Designs ever, but the logistical headache of building on an island only accessible by a narrow footbridge soon became clear. Heavy machinery was swept away by the river, contractors were changed, and the site was hit by severe storms, causing delays and resulting in an unfinished and untested building. Kevin returns to find out what living on a regularly flooded piece of land is like, and whether the floating home performed when the river burst its banks in January 2015.</t>
  </si>
  <si>
    <t>Kevin McCloud returns to north Cornwall to see one of his favourite Grand Designs, and discover whether Rebecca Sturrock and Gregory Kewish have been successful with their ambitious plans. Their project, to reinforce the walls of an old bungalow and put a new living space on top made entirely of cross-laminated timber, soon ran into difficulties, but now fully complete both inside and out, Kevin finds out whether this innovative house is really big enough to accommodate a growing family.</t>
  </si>
  <si>
    <t>A new run of shows starts with an overgrown, neglected half-acre site in the heart of a Gloucestershire town. It could be the perfect plot to build a house - if you were allowed to cut down its 27 protected trees and clear the site. But local plumber Jon Martin and ceramicist Noreen Jaafar have a much better solution. They love trees and they love their home town, so they're going to build a big modern tree house. The house will be way up in the trees, with stilts screwed into the earth and featuring balconies that see for miles. The only problem is building it, especially on a tight budget. It takes almost two years to crack the engineering as the project becomes an epic self-build, 40 feet up, as an exhausted Jon and Noreen battle towards the finish.</t>
  </si>
  <si>
    <t>Why are our homes so often designed to be so serious and purely practical? Surely there's space for a bit more fun? That's what Matt and Sophie White from Sussex believe. They want to build a giant family house of fun for themselves and their children. It will be a mysterious black home kitted out with a revolving bookcase door, secret dens, hiding places behind one-way mirrors and a fireman's pole. Matt wants the house to evolve, so he uses a steel frame system which means they can change the layout whenever they want. There are other changes too - like amending the window shapes and sizes and adding a new half floor to create a James Bond room. Just what will this house look like in the end?</t>
  </si>
  <si>
    <t>Tom and Danielle Raffield's lifelong passion is steam-bending wood into extraordinary curvy shapes. They've spent much of their working lives using the technique to make furniture and lighting. Desperate to escape their tiny gamekeeper's lodge, they've decided to build a spectacular wavy wooden house in South Cornwall, with curvy cladding, twisty furniture, and interior walls covered with naturally-weathered timber. With only a ú100k budget to play with, they decide to do a lot of the building themselves. But have they taken on too much?</t>
  </si>
  <si>
    <t>After artist and teacher Michelle Parsons recovered from serious illness, she and her architect husband David decided it was time to seize the day and build the private hideaway they'd always yearned for. David devised a sleek, black-clad, three bedroom house for a beautiful plot in an Essex woodland, with a separate studio for Michelle. The couple project manage the build, which gets off to a sticky start, including a dangerous gas leak and torrential rain. As the building finally starts to take shape, the big question remains - by choosing to eliminate windows on two sides of the property, could their new home turn out to be just a gloomy bunker?</t>
  </si>
  <si>
    <t>Can you really build a Grand Design when you've only got ú500 to start with? That's what Simon and Jasmine Dale had in the bank when they started to build their unique three bedroom family house high up in the hills of rural Pembrokeshire. This is their take on 21st century low-impact self-building, featuring foraged and recycled materials. Despite the budget, their house will be open plan, have underfloor heating, an inside flushing loo, and a set of greenhouses that wouldn't disgrace Kew Gardens. They are part of a pioneering, government-backed, sustainable village called Lammas, which has a fierce planning condition attached: in return for the right to build on open farmland, they must become self-sufficient on their seven acre plot in five years, or lose everything. It's a huge double challenge.</t>
  </si>
  <si>
    <t>Kevin McCloud meets Mark and Candida Diacono, who have set about building a home in the shape of a plough on their 17-acre smallholding in Devon. With its complex curved roof, timber-clad exterior and steel-framed working barn, the ambitious project presents a unique technical challenge.</t>
  </si>
  <si>
    <t>How do you turn your small bungalow from a 1960s dormer into a generous 21st-century piece of slick architecture, all for ú175k? Stuart and Rosie Treasurer from the Wirral plan to decapitate their bungalow - cutting the roof off to leave just the walls - then balance a big new floating timber box on top, containing five bedrooms. To keep costs down, they take on the plumbing and electrics themselves, spend as little as they can on insulation, and leave elements of the building unfinished. The hope is to get a stylish industrial look in the process. But the stress levels spiral when their neighbours grumble about the ultra-modern wooden box going up in the middle of their traditional suburb.</t>
  </si>
  <si>
    <t>Kevin McCloud returns one year later to see the progress of private chef Ed Versluys and Pilates instructor Vicky Anderson, who wanted to convert a concrete cowshed in the Somerset countryside into a three bedroom home. With the help of one young builder and the knowledge they can learn from the Internet, the couple planed to project manage the conversion themselves. However, they had only seven months and a budget of just over £200,000 to make a warm and comfortable home with straw bale walls and wide expanses of glass.</t>
  </si>
  <si>
    <t>Few people would be brave or foolish enough to buy a building plot without visiting it first. But that's exactly what ex-RAF pilot Jon and GP Gill Flewers did. Returning to the UK after a four year stint in New Zealand, this intrepid pair want to build a Kiwi-style hill house on the slopes of the Malvern hills in Worcestershire. Their ambitious three storey upside-down home will be clad in wood and stone, clinging to the hill and designed to take advantage of and enhance the surrounding scenery. But there are problems. The site is so steep that builders don't want the job. So, despite a complete lack of experience, Jon quits his job to run the project himself. It proves an emotional rollercoaster ride.</t>
  </si>
  <si>
    <t>Penny Talelli has a passion for cutting-edge contemporary architecture, while husband Mark Edwards loves period buildings. Somehow, these two neurologists want to build a family home that satisfies both their tastes. But will it be the best of both worlds or just an appalling mishmash? Taking the plunge, they buy a derelict Victorian gatehouse on a very steep hill in north London, that currently sits abandoned and unloved. The plan is to restore it, paint it white, and then add a giant black zinc-clad box at the back, marrying their love of old and new. But they run into problems. The gatehouse needs knocking down. Excavating the sloping site takes longer than expected. Increasingly struggling to balance their busy working lives with project managing the build, the future of Penny and Mark's unconventional home hangs in the balance.</t>
  </si>
  <si>
    <t>We are a nation that loves our sheds - but not many of us would want to actually live in one. In Northern Ireland, young architect and shed fanatic Micah Jones has the chance to re-invent a dilapidated old agricultural building in the rolling countryside of County Down. Micah plans an upside down four bedroom shed using new techniques and materials. Micah and family move into a caravan on their windswept site for the duration of the build. But their limited £200k budget runs short and Micah is forced to do more and more of the work himself. And then news of a new baby on the way adds yet more pressure.</t>
  </si>
  <si>
    <t>This is one of the most ambitious homes ever seen on Grand Designs - a scaly, curving house that's reminiscent of a giant coiled snake. Stephen Tetlow is head of the Institution of Mechanical Engineers. Stephen's wife Elizabeth is a committed horticulturalist. Together they want to build a home that reflects their passions - one that pushes Stephen's engineering skills to the limit and embraces Elizabeth's deep affinity with nature. Taking inspiration from an ammonite shell found on their land in the beautiful Blackdown Hills in Devon, the house spirals onto the landscape over two levels and mixes natural materials with cutting edge technology. Construction of such a complex curving structure proves a huge challenge and progress is tortuously slow.</t>
  </si>
  <si>
    <t>Joe and Lina's clever space-saving low-budget build may be the smallest two-bedroom house you're allowed to build in London, but it'll be stylish, and theirs - not a landlord's.</t>
  </si>
  <si>
    <t>Ten years in the making, this is the longest running Grand Designs ever. In 2007, Ed and Rowena Waghorn started to build a handcrafted five bedroom house on an eight acre smallholding in Herefordshire. Their budget was just £100k. Made from individually carved wooden beams and walls of straw and clay, the heart of the house was to be a huge medieval style hall, complete with massive stone fireplace and a glorious cathedral-like window with panoramic views across the valley. Ed decided to do most of the work himself. Progress was slow. Four years in, the house was still a shell. In 2012 Kevin McCloud decided to follow the build for another five years. In the end, it's just possible this house might turn out to be a masterpiece.</t>
  </si>
  <si>
    <t>Kevin McCloud returns for a new series of the show that follows intrepid individuals trying to design and build their dream home. In Buckinghamshire he meets young Spanish architect Jaime and his wife Mimi as they embark on an epic mission to convert a Grade II* listed folly into a family home. Originally designed to exhibit a fossil collection, but gutted by fire and left in ruins for the last 200 years, the crumbling mini castle beguiles Jaime and Mimi. Giving themselves a wildly optimistic six month deadline to finish before the birth of their second child, it's not long before the couple hit trouble. The Saxon burial ground the folly is built on throws up some macabre surprises. Their stonemasons from Madrid let them down and local builders with no restoration experience have to take on the crumbling stonework. Jaime puts all his energies and creativity into the project, using innovative 3D mapping to squeeze living spaces into the tower, but it's an exhausting struggle.</t>
  </si>
  <si>
    <t>Harry and Briony Anscombe have made a radical change to their lives, moving with their three young children from London to Cornwall - and setting up an outpost of their media business at the same time. It's a bold attempt to emulate the positive work-life balance and lifestyle they experienced in California. But even bolder is the giant five-bedroom house they want to build, heavily inspired by an American modernist house Harry saw in the 80s teen comedy Ferris Bueller's Day Off. All floating steel and glass, Harry by his own admission has become 'obsessed' with living somewhere just like it. But creating such an architecturally ambitious home would typically cost over a million pounds, and Harry and Briony have just £400,000 to play with.</t>
  </si>
  <si>
    <t>After 10 years of living in a small house in east London, John Flood and Eleni Skordaki hankered after modern, open-plan living. They didn't want to move, so they decided to give their Victorian terrace home a radical redesign. The house was situated in a conservation area, so the outside had to remain unchanged. However, inside they decided to rip out everything, walls, ceilings, floors, and start completely a fresh.</t>
  </si>
  <si>
    <t>Andrew and Lowri Davies embark on a project to build an environmentally friendly farmhouse in rural Wales. Encouraged by their architect, they opt for some state-of-the-art experimental building materials, but do their builders know how to use them? As the budget spirals out of control, they find it increasingly difficult to balance the budget with their desire for a sustainable home.</t>
  </si>
  <si>
    <t>Every Englishman's home is his castle, but for Francis Shaw this is quite literally true. He and his wife, Karen, and their two young daughters, bought the ruins of a 14th-century castle in North Yorkshire and took on the remarkable challenge of turning a pile of stones into a beautiful home. Surrounded by rolling green fields, the location is idyllic, however, the castle itself was little more than four crumbling walls.</t>
  </si>
  <si>
    <t>Young architect Richard Hawkes and his wife Sophie have decided to move out of London to live the good life in the Kent countryside. They buy a plot of land on which they plan to grow their own food, and lead as sustainable a life as possible. For Richard it's an opportunity to experiment and build the house of his dreams, one that embraces cutting-edge green technologies and is capable of providing almost all its own energy.</t>
  </si>
  <si>
    <t>In 2005, businessman Jim Fairfull and his wife Simone set out to build a glass pavilion by a loch in Scotland. Jim was suffering from a stress-related disease and hoped that living in a tranquil setting might cure him of his condition. But there is nothing calm about the process of building, and with such a beautiful location, it was a challenge to find a design that would do it justice and appease local planners. Kevin catches up with the couple to see how their build was getting on.</t>
  </si>
  <si>
    <t>For 10 years, woodsman Ben Law fought for planning permission to build himself a house in the heart of the woods where he worked. But there was a condition attached: he could never sell the house, only pass it on to his successor. Ben wanted his home to be totally self-sufficient with no mains services, and decided to build it using only materials from the woods, using techniques pretty similar to those used a thousand years ago. Kevin catches up with Ben to see how he and his house are doing.</t>
  </si>
  <si>
    <t>Plot</t>
  </si>
  <si>
    <t>/home/ziga/share/Series/Other/0 Home and Gardening/Grand Designs/Season 01/Grand Designs - S01E01 - Newhaven - The Timber Frame Kit House.avi</t>
  </si>
  <si>
    <t>/home/ziga/share/Series/Other/0 Home and Gardening/Grand Designs/Season 01/Grand Designs - S01E02 - Berkshire - English Barn.avi</t>
  </si>
  <si>
    <t>/home/ziga/share/Series/Other/0 Home and Gardening/Grand Designs/Season 01/Grand Designs - S01E03 - Brighton - The Co-Operative Build.avi</t>
  </si>
  <si>
    <t>/home/ziga/share/Series/Other/0 Home and Gardening/Grand Designs/Season 01/Grand Designs - S01E04 - Amersham - The Water Tower.avi</t>
  </si>
  <si>
    <t>/home/ziga/share/Series/Other/0 Home and Gardening/Grand Designs/Season 01/Grand Designs - S01E05 - Suffolk - The Eco-House.avi</t>
  </si>
  <si>
    <t>/home/ziga/share/Series/Other/0 Home and Gardening/Grand Designs/Season 01/Grand Designs - S01E06 - Cornwall - The Chapel.avi</t>
  </si>
  <si>
    <t>/home/ziga/share/Series/Other/0 Home and Gardening/Grand Designs/Season 01/Grand Designs - S01E07 - Islington - The House of Straw.avi</t>
  </si>
  <si>
    <t>/home/ziga/share/Series/Other/0 Home and Gardening/Grand Designs/Season 01/Grand Designs - S01E08 - Doncaster - The Glass House.avi</t>
  </si>
  <si>
    <t>/home/ziga/share/Series/Other/0 Home and Gardening/Grand Designs/Season 02/Grand Designs - S02E01 - Farnham - The Regency Villa.avi</t>
  </si>
  <si>
    <t>/home/ziga/share/Series/Other/0 Home and Gardening/Grand Designs/Season 02/Grand Designs - S02E02 - Sussex - The New England Gable House.avi</t>
  </si>
  <si>
    <t>/home/ziga/share/Series/Other/0 Home and Gardening/Grand Designs/Season 02/Grand Designs - S02E03 - Netherton - The Wool Mill.avi</t>
  </si>
  <si>
    <t>/home/ziga/share/Series/Other/0 Home and Gardening/Grand Designs/Season 02/Grand Designs - S02E04 - Brecon Beacons - The Isolated Cottage.avi</t>
  </si>
  <si>
    <t>/home/ziga/share/Series/Other/0 Home and Gardening/Grand Designs/Season 02/Grand Designs - S02E05 - Lambourn Valley - The Cruciform House.avi</t>
  </si>
  <si>
    <t>/home/ziga/share/Series/Other/0 Home and Gardening/Grand Designs/Season 02/Grand Designs - S02E06 - Birmingham - The Self-Build.avi</t>
  </si>
  <si>
    <t>/home/ziga/share/Series/Other/0 Home and Gardening/Grand Designs/Season 02/Grand Designs - S02E07 - London - The Jewel Box.avi</t>
  </si>
  <si>
    <t>/home/ziga/share/Series/Other/0 Home and Gardening/Grand Designs/Season 02/Grand Designs - S02E08 - Devon - The Derelict Barns.avi</t>
  </si>
  <si>
    <t>/home/ziga/share/Series/Other/0 Home and Gardening/Grand Designs/Season 02/Grand Designs - S02E09 - Revisited - Doncaster - The Glass-House (Revisited from S1 Ep8).avi</t>
  </si>
  <si>
    <t>/home/ziga/share/Series/Other/0 Home and Gardening/Grand Designs/Season 02/Grand Designs - S02E10 - Revisited - Suffolk - The Eco-House (Revisited from S1 Ep5).avi</t>
  </si>
  <si>
    <t>/home/ziga/share/Series/Other/0 Home and Gardening/Grand Designs/Season 02/Grand Designs - S02E11 - Revisited - Islington - The House of Straw (Revisited from S1 Ep7).avi</t>
  </si>
  <si>
    <t>/home/ziga/share/Series/Other/0 Home and Gardening/Grand Designs/Season 02/Grand Designs - S02E12 - Revisited - Birmingham - The Self-Build (Revisited from S2 Ep6).avi</t>
  </si>
  <si>
    <t>/home/ziga/share/Series/Other/0 Home and Gardening/Grand Designs/Season 02/Grand Designs - S02E13 - Revisited - Brighton - The Co-Op (Revisited from S1 Ep3).avi</t>
  </si>
  <si>
    <t>/home/ziga/share/Series/Other/0 Home and Gardening/Grand Designs/Season 02/Grand Designs - S02E14 - Revisited - Brecon Beacons Wales - The Isolated Cottage (Revisited from S2 Ep4).avi</t>
  </si>
  <si>
    <t>/home/ziga/share/Series/Other/0 Home and Gardening/Grand Designs/Season 02/Grand Designs - S02E15 - Revisited - London - The Dilapidated Georgian House (Revisited from Grand Designs Indoors - 15 March 2001).avi</t>
  </si>
  <si>
    <t>/home/ziga/share/Series/Other/0 Home and Gardening/Grand Designs/Season 02/Grand Designs - S02E16 - Revisited - Coleshill Amersham - The Water Tower (Revisited from S1 Ep4).avi</t>
  </si>
  <si>
    <t>/home/ziga/share/Series/Other/0 Home and Gardening/Grand Designs/Season 02/Grand Designs - S02E17 - Revisited - Devon - The Derelict Barns (Revisited from S2 Ep8).avi</t>
  </si>
  <si>
    <t>/home/ziga/share/Series/Other/0 Home and Gardening/Grand Designs/Season 03/Grand Designs - S03E01 - Peterborough - The Wooden Box.avi</t>
  </si>
  <si>
    <t>/home/ziga/share/Series/Other/0 Home and Gardening/Grand Designs/Season 03/Grand Designs - S03E02 - Chesterfield - The Water-Works.mp4</t>
  </si>
  <si>
    <t>/home/ziga/share/Series/Other/0 Home and Gardening/Grand Designs/Season 03/Grand Designs - S03E03 - Sussex - The Woodsmans Cottage.avi</t>
  </si>
  <si>
    <t>/home/ziga/share/Series/Other/0 Home and Gardening/Grand Designs/Season 03/Grand Designs - S03E04 - Surrey - The Victorian Threshing Barn.avi</t>
  </si>
  <si>
    <t>/home/ziga/share/Series/Other/0 Home and Gardening/Grand Designs/Season 03/Grand Designs - S03E06 - Hackney - The Terrace Conversion.avi</t>
  </si>
  <si>
    <t>/home/ziga/share/Series/Other/0 Home and Gardening/Grand Designs/Season 03/Grand Designs - S03E07 - Cumbria - The Underground House.avi</t>
  </si>
  <si>
    <t>/home/ziga/share/Series/Other/0 Home and Gardening/Grand Designs/Season 03/Grand Designs - S03E08 - Herefordshire - The Traditional Cottage.avi</t>
  </si>
  <si>
    <t>/home/ziga/share/Series/Other/0 Home and Gardening/Grand Designs/Season 03/Grand Designs - S03E11 - Revisited - Sunderland - The Former Electricity Sub-Station (Revisited from Grand Designs Indoors - 1 March 2001).avi</t>
  </si>
  <si>
    <t>/home/ziga/share/Series/Other/0 Home and Gardening/Grand Designs/Season 03/Grand Designs - S03E12 - Revisited - Berkshire - The English Barn (Revisited from S1 Ep2).avi</t>
  </si>
  <si>
    <t>/home/ziga/share/Series/Other/0 Home and Gardening/Grand Designs/Season 04/Grand Designs - S04E01 - Lambeth - The Violin Factory.avi</t>
  </si>
  <si>
    <t>/home/ziga/share/Series/Other/0 Home and Gardening/Grand Designs/Season 04/Grand Designs - S04E02 - Walton on Thames - Customised German Kit House.avi</t>
  </si>
  <si>
    <t>/home/ziga/share/Series/Other/0 Home and Gardening/Grand Designs/Season 04/Grand Designs - S04E03 - Revisited - Buckinghamshire - The Inverted-Roof House (Revisited from S3 Ep5).avi</t>
  </si>
  <si>
    <t>/home/ziga/share/Series/Other/0 Home and Gardening/Grand Designs/Season 04/Grand Designs - S04E04 - Leith - 19th Century Sandstone House.avi</t>
  </si>
  <si>
    <t>/home/ziga/share/Series/Other/0 Home and Gardening/Grand Designs/Season 04/Grand Designs - S04E05 - Clapham - The Curved House.avi</t>
  </si>
  <si>
    <t>/home/ziga/share/Series/Other/0 Home and Gardening/Grand Designs/Season 04/Grand Designs - S04E06 - Sussex - The Modernist Sugar Cube.avi</t>
  </si>
  <si>
    <t>/home/ziga/share/Series/Other/0 Home and Gardening/Grand Designs/Season 04/Grand Designs - S04E07 - Argyll - The Oak-Framed House.avi</t>
  </si>
  <si>
    <t>/home/ziga/share/Series/Other/0 Home and Gardening/Grand Designs/Season 04/Grand Designs - S04E08 - Dorset - An Idiosyncratic Home.avi</t>
  </si>
  <si>
    <t>/home/ziga/share/Series/Other/0 Home and Gardening/Grand Designs/Season 05/Grand Designs - S05E02 - Peckham - The sliding glass roof house.avi</t>
  </si>
  <si>
    <t>/home/ziga/share/Series/Other/0 Home and Gardening/Grand Designs/Season 05/Grand Designs - S05E03 - Gloucester - The 16th Century Farmhouse.avi</t>
  </si>
  <si>
    <t>/home/ziga/share/Series/Other/0 Home and Gardening/Grand Designs/Season 05/Grand Designs - S05E04 - Kent - Finnish Log Cabin.avi</t>
  </si>
  <si>
    <t>/home/ziga/share/Series/Other/0 Home and Gardening/Grand Designs/Season 05/Grand Designs - S05E05 - Revisited - Hackney - The Terrace Conversion (Revisited from S3 Ep6).avi</t>
  </si>
  <si>
    <t>/home/ziga/share/Series/Other/0 Home and Gardening/Grand Designs/Season 05/Grand Designs - S05E07 - Shaldon - Shaped Like a Curvy Seashell.avi</t>
  </si>
  <si>
    <t>/home/ziga/share/Series/Other/0 Home and Gardening/Grand Designs/Season 05/Grand Designs - S05E09 - Belfast - A 21st Century Answer to the Roman Villa.avi</t>
  </si>
  <si>
    <t>/home/ziga/share/Series/Other/0 Home and Gardening/Grand Designs/Season 05/Grand Designs - S05E10 - Devon - The Miami-Style Beach House.avi</t>
  </si>
  <si>
    <t>/home/ziga/share/Series/Other/0 Home and Gardening/Grand Designs/Season 05/Grand Designs - S05E11 - Carmarthen - The Eco-House.avi</t>
  </si>
  <si>
    <t>/home/ziga/share/Series/Other/0 Home and Gardening/Grand Designs/Season 06/Grand Designs - S06E01 - Killearn - The Loch House.avi</t>
  </si>
  <si>
    <t>/home/ziga/share/Series/Other/0 Home and Gardening/Grand Designs/Season 06/Grand Designs - S06E02 - Ross-on-Wye - The Contemporary Barn Conversion.avi</t>
  </si>
  <si>
    <t>/home/ziga/share/Series/Other/0 Home and Gardening/Grand Designs/Season 06/Grand Designs - S06E03 - Stirling - The Contemporary Cedar Clad Home.avi</t>
  </si>
  <si>
    <t>/home/ziga/share/Series/Other/0 Home and Gardening/Grand Designs/Season 06/Grand Designs - S06E04 - Ashford - Water Tower Conversion.avi</t>
  </si>
  <si>
    <t>/home/ziga/share/Series/Other/0 Home and Gardening/Grand Designs/Season 06/Grand Designs - S06E07 - Exeter - Garden House aka Mies van der Rohe Inspired House.avi</t>
  </si>
  <si>
    <t>/home/ziga/share/Series/Other/0 Home and Gardening/Grand Designs/Season 07/Grand Designs - S07E01 - Skipton - The 14th Century Castle (90 minutes).avi</t>
  </si>
  <si>
    <t>/home/ziga/share/Series/Other/0 Home and Gardening/Grand Designs/Season 07/Grand Designs - S07E02 - Hampshire - The Thatched Cottage.avi</t>
  </si>
  <si>
    <t>/home/ziga/share/Series/Other/0 Home and Gardening/Grand Designs/Season 07/Grand Designs - S07E03 - Medway - The Eco-Barge.avi</t>
  </si>
  <si>
    <t>/home/ziga/share/Series/Other/0 Home and Gardening/Grand Designs/Season 07/Grand Designs - S07E04 - Bournemouth - The Bournemouth Penthouse.avi</t>
  </si>
  <si>
    <t>/home/ziga/share/Series/Other/0 Home and Gardening/Grand Designs/Season 07/Grand Designs - S07E05 - Revisited - Carmarthen - The Eco-House (Revisited from S5 Ep11).avi</t>
  </si>
  <si>
    <t>/home/ziga/share/Series/Other/0 Home and Gardening/Grand Designs/Season 07/Grand Designs - S07E06 - Tipton - The Birmingham Church.avi</t>
  </si>
  <si>
    <t>/home/ziga/share/Series/Other/0 Home and Gardening/Grand Designs/Season 07/Grand Designs - S07E07 - Guildford - The Art Deco House.avi</t>
  </si>
  <si>
    <t>/home/ziga/share/Series/Other/0 Home and Gardening/Grand Designs/Season 07/Grand Designs - S07E08 - Revisited - Peckham - The Sliding Glass Roof House (Revisited from S5 Ep2).avi</t>
  </si>
  <si>
    <t>/home/ziga/share/Series/Other/0 Home and Gardening/Grand Designs/Season 07/Grand Designs - S07E09 - Revisited - Argyll - The Oak-Framed House (Revisited from S4 Ep7).avi</t>
  </si>
  <si>
    <t>/home/ziga/share/Series/Other/0 Home and Gardening/Grand Designs/Season 07/Grand Designs - S07E10 - Cambridgeshire - The Cambridgeshire Eco Home.avi</t>
  </si>
  <si>
    <t>/home/ziga/share/Series/Other/0 Home and Gardening/Grand Designs/Season 07/Grand Designs - S07E11 - Revisited - Tuscany - The Tuscan Castle (Revisited from Grand Designs Abroad - 13 October 2004).avi</t>
  </si>
  <si>
    <t>/home/ziga/share/Series/Other/0 Home and Gardening/Grand Designs/Season 07/Grand Designs - S07E12 - Dulwich - The Glass &amp; Timber House.avi</t>
  </si>
  <si>
    <t>/home/ziga/share/Series/Other/0 Home and Gardening/Grand Designs/Season 08/Grand Designs - S08E01 - Cheltenham - The Underground House.avi</t>
  </si>
  <si>
    <t>/home/ziga/share/Series/Other/0 Home and Gardening/Grand Designs/Season 08/Grand Designs - S08E02 - Oxford - The Decagon House.avi</t>
  </si>
  <si>
    <t>/home/ziga/share/Series/Other/0 Home and Gardening/Grand Designs/Season 08/Grand Designs - S08E03 - Bristol - The Modernist Sugar Cube.avi</t>
  </si>
  <si>
    <t>/home/ziga/share/Series/Other/0 Home and Gardening/Grand Designs/Season 08/Grand Designs - S08E04 - Herefordshire - The Gothic House.avi</t>
  </si>
  <si>
    <t>/home/ziga/share/Series/Other/0 Home and Gardening/Grand Designs/Season 08/Grand Designs - S08E05 - Midlothian - The Lime Kiln House.avi</t>
  </si>
  <si>
    <t>/home/ziga/share/Series/Other/0 Home and Gardening/Grand Designs/Season 08/Grand Designs - S08E06 - Bath - The Bath Kit House.avi</t>
  </si>
  <si>
    <t>/home/ziga/share/Series/Other/0 Home and Gardening/Grand Designs/Season 08/Grand Designs - S08E07 - Revisited - Puglia - An Artists' Retreat (Revisited from Grand Designs Abroad - 22 September 2004).avi</t>
  </si>
  <si>
    <t>/home/ziga/share/Series/Other/0 Home and Gardening/Grand Designs/Season 08/Grand Designs - S08E08 - Revisited - Peterborough - The Wooden Box (Revisited from S3 Ep1).avi</t>
  </si>
  <si>
    <t>/home/ziga/share/Series/Other/0 Home and Gardening/Grand Designs/Season 08/Grand Designs - S08E09 - Revisited - Surrey - Customised German Kit House (Revisited from S4 Ep2).avi</t>
  </si>
  <si>
    <t>/home/ziga/share/Series/Other/0 Home and Gardening/Grand Designs/Season 08/Grand Designs - S08E10 - Revisited - Surrey - The Victorian Threshing Barn (Revisited from S3 Ep4).avi</t>
  </si>
  <si>
    <t>/home/ziga/share/Series/Other/0 Home and Gardening/Grand Designs/Season 08/Grand Designs - S08E11 - Revisited - Cumbria - The Underground House (Revisited from S3 Ep7).avi</t>
  </si>
  <si>
    <t>/home/ziga/share/Series/Other/0 Home and Gardening/Grand Designs/Season 08/Grand Designs - S08E12 - Maidstone - The Hi Tech Bungalow.avi</t>
  </si>
  <si>
    <t>/home/ziga/share/Series/Other/0 Home and Gardening/Grand Designs/Season 09/Grand Designs - S09E01 - Somerset - The Apprentice Store.avi</t>
  </si>
  <si>
    <t>/home/ziga/share/Series/Other/0 Home and Gardening/Grand Designs/Season 09/Grand Designs - S09E02 - Oxfordshire - The Chilterns Water Mill.avi</t>
  </si>
  <si>
    <t>/home/ziga/share/Series/Other/0 Home and Gardening/Grand Designs/Season 09/Grand Designs - S09E03 - Newport - The Newport Folly.avi</t>
  </si>
  <si>
    <t>/home/ziga/share/Series/Other/0 Home and Gardening/Grand Designs/Season 09/Grand Designs - S09E04 - Kent - The Eco Arch.avi</t>
  </si>
  <si>
    <t>/home/ziga/share/Series/Other/0 Home and Gardening/Grand Designs/Season 09/Grand Designs - S09E05 - Brittany - The Brittany Groundhouse.avi</t>
  </si>
  <si>
    <t>/home/ziga/share/Series/Other/0 Home and Gardening/Grand Designs/Season 09/Grand Designs - S09E06 - Wiltshire - The Marlborough Farm House.avi</t>
  </si>
  <si>
    <t>/home/ziga/share/Series/Other/0 Home and Gardening/Grand Designs/Season 09/Grand Designs - S09E07 - Kent - The Headcorn Minimalist House.avi</t>
  </si>
  <si>
    <t>/home/ziga/share/Series/Other/0 Home and Gardening/Grand Designs/Season 09/Grand Designs - S09E08 - Revisited - The 14th Century Castle (Revisited from S7 Ep1).avi</t>
  </si>
  <si>
    <t>/home/ziga/share/Series/Other/0 Home and Gardening/Grand Designs/Season 09/Grand Designs - S09E09 - Revisited - Cambridgeshire - The Cambridgeshire Eco Home (Revisited from S7 Ep10).avi</t>
  </si>
  <si>
    <t>/home/ziga/share/Series/Other/0 Home and Gardening/Grand Designs/Season 09/Grand Designs - S09E10 - Brighton - The Brighton Modern Mansion.avi</t>
  </si>
  <si>
    <t>/home/ziga/share/Series/Other/0 Home and Gardening/Grand Designs/Season 09/Grand Designs - S09E11 - Revisited - Hampshire - The Thatched Cottage (Revisited from S7 Ep2).avi</t>
  </si>
  <si>
    <t>/home/ziga/share/Series/Other/0 Home and Gardening/Grand Designs/Season 09/Grand Designs - S09E12 - Revisited - Killearn Scotland - The Loch House (Revisited from S6 Ep1).avi</t>
  </si>
  <si>
    <t>/home/ziga/share/Series/Other/0 Home and Gardening/Grand Designs/Season 09/Grand Designs - S09E13 - 2nd Revisit - Sussex - The Woodsmans Cottage (Revisited from S3 Ep3 &amp; S5 Ep8).avi</t>
  </si>
  <si>
    <t>/home/ziga/share/Series/Other/0 Home and Gardening/Grand Designs/Season 10/Grand Designs - S10E01 - Isle of Wight - The Tree House.avi</t>
  </si>
  <si>
    <t>/home/ziga/share/Series/Other/0 Home and Gardening/Grand Designs/Season 10/Grand Designs - S10E02 - Cotswolds - The Stealth House.avi</t>
  </si>
  <si>
    <t>/home/ziga/share/Series/Other/0 Home and Gardening/Grand Designs/Season 10/Grand Designs - S10E03 - Woodbridge - The Modest Home.avi</t>
  </si>
  <si>
    <t>/home/ziga/share/Series/Other/0 Home and Gardening/Grand Designs/Season 10/Grand Designs - S10E04 - Stowmarket - The Barn &amp; Guildhall.avi</t>
  </si>
  <si>
    <t>/home/ziga/share/Series/Other/0 Home and Gardening/Grand Designs/Season 10/Grand Designs - S10E05 - Ipswich - The Radian House.avi</t>
  </si>
  <si>
    <t>/home/ziga/share/Series/Other/0 Home and Gardening/Grand Designs/Season 10/Grand Designs - S10E06 - Lizard Peninsular - The Scandinavian House.avi</t>
  </si>
  <si>
    <t>/home/ziga/share/Series/Other/0 Home and Gardening/Grand Designs/Season 10/Grand Designs - S10E07 - Cumbria - The Adaptahaus.avi</t>
  </si>
  <si>
    <t>/home/ziga/share/Series/Other/0 Home and Gardening/Grand Designs/Season 10/Grand Designs - S10E08 - Lake District - The Dome House.avi</t>
  </si>
  <si>
    <t>/home/ziga/share/Series/Other/0 Home and Gardening/Grand Designs/Season 10/Grand Designs - S10E09 - Revisited - Brittany France - The Brittany Groundhouse (Revisited from S9 Ep5).avi</t>
  </si>
  <si>
    <t>/home/ziga/share/Series/Other/0 Home and Gardening/Grand Designs/Season 10/Grand Designs - S10E10 - Revisited - Dulwich - The Glass &amp; Timber House (Revisited from S7 Ep12).avi</t>
  </si>
  <si>
    <t>/home/ziga/share/Series/Other/0 Home and Gardening/Grand Designs/Season 10/Grand Designs - S10E11 - Revisited - Belfast - A 21st Century Answer to the Roman Villa (Revisited from S5 Ep9).avi</t>
  </si>
  <si>
    <t>/home/ziga/share/Series/Other/0 Home and Gardening/Grand Designs/Season 10/Grand Designs - S10E12 - Revisited - Lot France - House from Straw (Revisited from Grand Designs Abroad - 15 September 2004).avi</t>
  </si>
  <si>
    <t>/home/ziga/share/Series/Other/0 Home and Gardening/Grand Designs/Season 10/Grand Designs - S10E13 - Coleshill Amersham - 2nd Revisit - The Water Tower (Revisited from S1 Ep4 and S2 Ep16).avi</t>
  </si>
  <si>
    <t>/home/ziga/share/Series/Other/0 Home and Gardening/Grand Designs/Season 10/Grand Designs - S10E14 - Revisited - Midlothian Scotland - The Lime Kiln House (Revisited from S8 Ep5).avi</t>
  </si>
  <si>
    <t>/home/ziga/share/Series/Other/0 Home and Gardening/Grand Designs/Season 11/Grand Designs - S11E01 - Morpeth - The Derelict Mill Cottage.avi</t>
  </si>
  <si>
    <t>/home/ziga/share/Series/Other/0 Home and Gardening/Grand Designs/Season 11/Grand Designs - S11E02 - London - The Contemporary Mansion.avi</t>
  </si>
  <si>
    <t>/home/ziga/share/Series/Other/0 Home and Gardening/Grand Designs/Season 11/Grand Designs - S11E03 - Tenby - The Lifeboat Station.avi</t>
  </si>
  <si>
    <t>/home/ziga/share/Series/Other/0 Home and Gardening/Grand Designs/Season 11/Grand Designs - S11E04 - Essex - The Large Timber-framed Barn.avi</t>
  </si>
  <si>
    <t>/home/ziga/share/Series/Other/0 Home and Gardening/Grand Designs/Season 11/Grand Designs - S11E05 - Herefordshire - The Recycled Timber-framed House.avi</t>
  </si>
  <si>
    <t>/home/ziga/share/Series/Other/0 Home and Gardening/Grand Designs/Season 11/Grand Designs - S11E06 - Cornwall - The Dilapidated Engine House.avi</t>
  </si>
  <si>
    <t>/home/ziga/share/Series/Other/0 Home and Gardening/Grand Designs/Season 11/Grand Designs - S11E07 - London - The Disco Home.avi</t>
  </si>
  <si>
    <t>/home/ziga/share/Series/Other/0 Home and Gardening/Grand Designs/Season 11/Grand Designs - S11E08 - Revisited - Lake District - The Dome House.avi</t>
  </si>
  <si>
    <t>/home/ziga/share/Series/Other/0 Home and Gardening/Grand Designs/Season 11/Grand Designs - S11E08 - Revisited - Lake District - The Dome House.nfo</t>
  </si>
  <si>
    <t>/home/ziga/share/Series/Other/0 Home and Gardening/Grand Designs/Season 11/Grand Designs - S11E09 - Revisited - Kent - The Eco Arch.avi</t>
  </si>
  <si>
    <t>/home/ziga/share/Series/Other/0 Home and Gardening/Grand Designs/Season 11/Grand Designs - S11E09 - Revisited - Kent - The Eco Arch.nfo</t>
  </si>
  <si>
    <t>/home/ziga/share/Series/Other/0 Home and Gardening/Grand Designs/Season 11/Grand Designs - S11E10 - Revisited - Ashford Kent - The Water Tower Conversion.avi</t>
  </si>
  <si>
    <t>/home/ziga/share/Series/Other/0 Home and Gardening/Grand Designs/Season 11/Grand Designs - S11E10 - Revisited - Ashford Kent - The Water Tower Conversion.nfo</t>
  </si>
  <si>
    <t>/home/ziga/share/Series/Other/0 Home and Gardening/Grand Designs/Season 11/Grand Designs - S11E11 - Revisited - Cumbria - The Adaptahaus.avi</t>
  </si>
  <si>
    <t>/home/ziga/share/Series/Other/0 Home and Gardening/Grand Designs/Season 11/Grand Designs - S11E11 - Revisited - Cumbria - The Adaptahaus.nfo</t>
  </si>
  <si>
    <t>/home/ziga/share/Series/Other/0 Home and Gardening/Grand Designs/Season 11/Grand Designs - S11E12 - Revisited - Kent - The Headcorn Minimalist House.avi</t>
  </si>
  <si>
    <t>/home/ziga/share/Series/Other/0 Home and Gardening/Grand Designs/Season 11/Grand Designs - S11E12 - Revisited - Kent - The Headcorn Minimalist House.nfo</t>
  </si>
  <si>
    <t>/home/ziga/share/Series/Other/0 Home and Gardening/Grand Designs/Season 12/Grand Designs - S12E01 - Roscommon Ireland - Cloontykilla Castle.avi</t>
  </si>
  <si>
    <t>/home/ziga/share/Series/Other/0 Home and Gardening/Grand Designs/Season 12/Grand Designs - S12E02 - Hertfordshire - The Computer-cut House.avi</t>
  </si>
  <si>
    <t>/home/ziga/share/Series/Other/0 Home and Gardening/Grand Designs/Season 12/Grand Designs - S12E03 - Brixton - The Glass Cubes House.avi</t>
  </si>
  <si>
    <t>/home/ziga/share/Series/Other/0 Home and Gardening/Grand Designs/Season 12/Grand Designs - S12E04 - Oxfordshire - The Thames Boathouse.avi</t>
  </si>
  <si>
    <t>/home/ziga/share/Series/Other/0 Home and Gardening/Grand Designs/Season 12/Grand Designs - S12E05 - London - The Derelict Water Tower.mkv</t>
  </si>
  <si>
    <t>/home/ziga/share/Series/Other/0 Home and Gardening/Grand Designs/Season 12/Grand Designs - S12E06 - London - The Underground House.mkv</t>
  </si>
  <si>
    <t>/home/ziga/share/Series/Other/0 Home and Gardening/Grand Designs/Season 12/Grand Designs - S12E07 - Isle of Skye - The Larch-Clad House.avi</t>
  </si>
  <si>
    <t>/home/ziga/share/Series/Other/0 Home and Gardening/Grand Designs/Season 12/Grand Designs - S12E08 - London - The Joinery Workshop.avi</t>
  </si>
  <si>
    <t>/home/ziga/share/Series/Other/0 Home and Gardening/Grand Designs/Season 12/Grand Designs - S12E09 - Revisited - Isle of Wight - The Tree House.avi</t>
  </si>
  <si>
    <t>/home/ziga/share/Series/Other/0 Home and Gardening/Grand Designs/Season 12/Grand Designs - S12E10 - Revisited - London - The Disco Home.avi</t>
  </si>
  <si>
    <t>/home/ziga/share/Series/Other/0 Home and Gardening/Grand Designs/Season 12/Grand Designs - S12E11 - Revisited - Essex - The Large Timber-Framed Barn.avi</t>
  </si>
  <si>
    <t>/home/ziga/share/Series/Other/0 Home and Gardening/Grand Designs/Season 12/Grand Designs - S12E12 - 2nd Revisiting - Brighton - The Co-Op.avi</t>
  </si>
  <si>
    <t>/home/ziga/share/Series/Other/0 Home and Gardening/Grand Designs/Season 13/Grand Designs - S13E01 - South Yorkshire - The 1920's Cinema.mkv</t>
  </si>
  <si>
    <t>/home/ziga/share/Series/Other/0 Home and Gardening/Grand Designs/Season 13/Grand Designs - S13E02 - North London - The Miniature Hollywood Mansion.mkv</t>
  </si>
  <si>
    <t>/home/ziga/share/Series/Other/0 Home and Gardening/Grand Designs/Season 13/Grand Designs - S13E03 - York - The Giant Farm Shed.mkv</t>
  </si>
  <si>
    <t>/home/ziga/share/Series/Other/0 Home and Gardening/Grand Designs/Season 13/Grand Designs - S13E04 - Tiverton - Crooked Chocolate Box Cottage.mkv</t>
  </si>
  <si>
    <t>/home/ziga/share/Series/Other/0 Home and Gardening/Grand Designs/Season 13/Grand Designs - S13E05 - South Lanarkshire - Metal Sculptural Home.mkv</t>
  </si>
  <si>
    <t>/home/ziga/share/Series/Other/0 Home and Gardening/Grand Designs/Season 13/Grand Designs - S13E06 - Monmouthshire - Japanese House.mkv</t>
  </si>
  <si>
    <t>/home/ziga/share/Series/Other/0 Home and Gardening/Grand Designs/Season 13/Grand Designs - S13E07 - South London - Modernist Masterpiece.mkv</t>
  </si>
  <si>
    <t>/home/ziga/share/Series/Other/0 Home and Gardening/Grand Designs/Season 13/Grand Designs - S13E08 - East Devon - Cob Castle.mkv</t>
  </si>
  <si>
    <t>/home/ziga/share/Series/Other/0 Home and Gardening/Grand Designs/Season 13/Grand Designs - S13E09 - Newbury - Christmas Farm.mkv</t>
  </si>
  <si>
    <t>/home/ziga/share/Series/Other/0 Home and Gardening/Grand Designs/Season 13/Grand Designs - S13E10 - Revisited - Málaga Spain - The Modernist Villa.mkv</t>
  </si>
  <si>
    <t>/home/ziga/share/Series/Other/0 Home and Gardening/Grand Designs/Season 13/Grand Designs - S13E11 - Revisited - Woodbridge - The Modest Home.mkv</t>
  </si>
  <si>
    <t>/home/ziga/share/Series/Other/0 Home and Gardening/Grand Designs/Season 14/Grand Designs - S14E01 - North Wales - The Clifftop House.mkv</t>
  </si>
  <si>
    <t>/home/ziga/share/Series/Other/0 Home and Gardening/Grand Designs/Season 14/Grand Designs - S14E02 - North Cornwall - The Cross-Laminated Timber House.mkv</t>
  </si>
  <si>
    <t>/home/ziga/share/Series/Other/0 Home and Gardening/Grand Designs/Season 14/Grand Designs - S14E03 - Milton Keynes - Round House.mkv</t>
  </si>
  <si>
    <t>/home/ziga/share/Series/Other/0 Home and Gardening/Grand Designs/Season 14/Grand Designs - S14E04 - County Derry - Shipping Container House.mkv</t>
  </si>
  <si>
    <t>/home/ziga/share/Series/Other/0 Home and Gardening/Grand Designs/Season 14/Grand Designs - S14E05 - South East London - Urban Shed.mkv</t>
  </si>
  <si>
    <t>/home/ziga/share/Series/Other/0 Home and Gardening/Grand Designs/Season 14/Grand Designs - S14E06 - Norfolk - Periscope House.mkv</t>
  </si>
  <si>
    <t>/home/ziga/share/Series/Other/0 Home and Gardening/Grand Designs/Season 14/Grand Designs - S14E07 - River Thames - Floating House.mkv</t>
  </si>
  <si>
    <t>/home/ziga/share/Series/Other/0 Home and Gardening/Grand Designs/Season 14/Grand Designs - S14E08 - Revisited - Creuse France - 19th Century Manor House.mkv</t>
  </si>
  <si>
    <t>/home/ziga/share/Series/Other/0 Home and Gardening/Grand Designs/Season 14/Grand Designs - S14E09 - Revisited - Monmouthshire - Japanese House.mkv</t>
  </si>
  <si>
    <t>/home/ziga/share/Series/Other/0 Home and Gardening/Grand Designs/Season 14/Grand Designs - S14E10 - Revisited - Tiverton - Crooked Chocolate Box Cottage.mkv</t>
  </si>
  <si>
    <t>/home/ziga/share/Series/Other/0 Home and Gardening/Grand Designs/Season 15/Grand Designs - S15E01 - Living in the City.mkv</t>
  </si>
  <si>
    <t>/home/ziga/share/Series/Other/0 Home and Gardening/Grand Designs/Season 15/Grand Designs - S15E02 - Living in the Wild.mkv</t>
  </si>
  <si>
    <t>/home/ziga/share/Series/Other/0 Home and Gardening/Grand Designs/Season 15/Grand Designs - S15E03 - Living in Suburbia.mkv</t>
  </si>
  <si>
    <t>/home/ziga/share/Series/Other/0 Home and Gardening/Grand Designs/Season 15/Grand Designs - S15E04 - Living in the Country.mkv</t>
  </si>
  <si>
    <t>/home/ziga/share/Series/Other/0 Home and Gardening/Grand Designs/Season 16/Grand Designs - S16E01 - West Sussex - The Perfectionist's Bungalow.mkv</t>
  </si>
  <si>
    <t>/home/ziga/share/Series/Other/0 Home and Gardening/Grand Designs/Season 16/Grand Designs - S16E02 - East Sussex - The Boat House.mkv</t>
  </si>
  <si>
    <t>/home/ziga/share/Series/Other/0 Home and Gardening/Grand Designs/Season 16/Grand Designs - S16E03 - Solent - The Seaside House.mkv</t>
  </si>
  <si>
    <t>/home/ziga/share/Series/Other/0 Home and Gardening/Grand Designs/Season 16/Grand Designs - S16E04 - Wyre Forest - The Cave House.mkv</t>
  </si>
  <si>
    <t>/home/ziga/share/Series/Other/0 Home and Gardening/Grand Designs/Season 16/Grand Designs - S16E05 - County Antrim - The Blacksmith's House.mkv</t>
  </si>
  <si>
    <t>/home/ziga/share/Series/Other/0 Home and Gardening/Grand Designs/Season 16/Grand Designs - S16E06 - Somerset - The Concrete Cow-Shed.mkv</t>
  </si>
  <si>
    <t>/home/ziga/share/Series/Other/0 Home and Gardening/Grand Designs/Season 16/Grand Designs - S16E07 - South Downs - The Rusty Metal House.mkv</t>
  </si>
  <si>
    <t>/home/ziga/share/Series/Other/0 Home and Gardening/Grand Designs/Season 16/Grand Designs - S16E08 - Revisited - River Thames - Floating House.mkv</t>
  </si>
  <si>
    <t>/home/ziga/share/Series/Other/0 Home and Gardening/Grand Designs/Season 16/Grand Designs - S16E09 - Revisited - North Cornwall - The Cross-Laminated Timber House.mkv</t>
  </si>
  <si>
    <t>/home/ziga/share/Series/Other/0 Home and Gardening/Grand Designs/Season 17/Grand Designs - S17E01 - Gloucestershire - Treehouse.mkv</t>
  </si>
  <si>
    <t>/home/ziga/share/Series/Other/0 Home and Gardening/Grand Designs/Season 17/Grand Designs - S17E02 - Horsham - Fun House.mkv</t>
  </si>
  <si>
    <t>/home/ziga/share/Series/Other/0 Home and Gardening/Grand Designs/Season 17/Grand Designs - S17E03 - South Cornwall - Wavy Wooden House.mkv</t>
  </si>
  <si>
    <t>/home/ziga/share/Series/Other/0 Home and Gardening/Grand Designs/Season 17/Grand Designs - S17E04 - Essex - Black House.mkv</t>
  </si>
  <si>
    <t>/home/ziga/share/Series/Other/0 Home and Gardening/Grand Designs/Season 17/Grand Designs - S17E05 - Bolton - Ultra-Modern House.mkv</t>
  </si>
  <si>
    <t>/home/ziga/share/Series/Other/0 Home and Gardening/Grand Designs/Season 17/Grand Designs - S17E06 - Pembrokeshire - Low-Impact House.mkv</t>
  </si>
  <si>
    <t>/home/ziga/share/Series/Other/0 Home and Gardening/Grand Designs/Season 17/Grand Designs - S17E07 - Devon - Plough-Shaped House.mkv</t>
  </si>
  <si>
    <t>/home/ziga/share/Series/Other/0 Home and Gardening/Grand Designs/Season 17/Grand Designs - S17E08 - The Wirral - Floating Timber House.mkv</t>
  </si>
  <si>
    <t>/home/ziga/share/Series/Other/0 Home and Gardening/Grand Designs/Season 17/Grand Designs - S17E09 - Revisited - Somerset - Concrete Cow Shed.mp4</t>
  </si>
  <si>
    <t>/home/ziga/share/Series/Other/0 Home and Gardening/Grand Designs/Season 18 (2017-18) [1080p HDTV]/Grand Designs - S18E01 - Malvern - Hill House.mkv</t>
  </si>
  <si>
    <t>/home/ziga/share/Series/Other/0 Home and Gardening/Grand Designs/Season 18 (2017-18) [1080p HDTV]/Grand Designs - S18E02 - Harringey London - Victorian Gatehouse.mkv</t>
  </si>
  <si>
    <t>/home/ziga/share/Series/Other/0 Home and Gardening/Grand Designs/Season 18 (2017-18) [1080p HDTV]/Grand Designs - S18E03 - County Down - Agricultural House.mkv</t>
  </si>
  <si>
    <t>/home/ziga/share/Series/Other/0 Home and Gardening/Grand Designs/Season 18 (2017-18) [1080p HDTV]/Grand Designs - S18E04 - South Hertfordshire - Roman House.mkv</t>
  </si>
  <si>
    <t>/home/ziga/share/Series/Other/0 Home and Gardening/Grand Designs/Season 18 (2017-18) [1080p HDTV]/Grand Designs - S18E05 - South East London - Victorian Dairy House.mkv</t>
  </si>
  <si>
    <t>/home/ziga/share/Series/Other/0 Home and Gardening/Grand Designs/Season 18 (2017-18) [1080p HDTV]/Grand Designs - S18E06 - Blackdown Hills Devon - Snake House.mkv</t>
  </si>
  <si>
    <t>/home/ziga/share/Series/Other/0 Home and Gardening/Grand Designs/Season 18 (2017-18) [1080p HDTV]/Grand Designs - S18E07 - Peak District - Post-Industrial House.mkv</t>
  </si>
  <si>
    <t>/home/ziga/share/Series/Other/0 Home and Gardening/Grand Designs/Season 18 (2017-18) [1080p HDTV]/Grand Designs - S18E08 - London - Miniscule House.mkv</t>
  </si>
  <si>
    <t>/home/ziga/share/Series/Other/0 Home and Gardening/Grand Designs/Season 18 (2017-18) [1080p HDTV]/Grand Designs - S18E09 - Revisited - Herefordshire - The Recycled Timber-Framed House.mkv</t>
  </si>
  <si>
    <t>/home/ziga/share/Series/Other/0 Home and Gardening/Grand Designs/Season 19 (2018-19) [720p HDTV]/Grand Designs - S19E01 - Aylsebury Vale - Folly House.mkv</t>
  </si>
  <si>
    <t>/home/ziga/share/Series/Other/0 Home and Gardening/Grand Designs/Season 19 (2018-19) [720p HDTV]/Grand Designs - S19E02 - Padstow Cornwall - American Modernist House.mkv</t>
  </si>
  <si>
    <t>Path</t>
  </si>
  <si>
    <t>Correct TVDB episode number for getting image url</t>
  </si>
  <si>
    <t>Is episode number the same?</t>
  </si>
  <si>
    <t>Python dictionary for paths</t>
  </si>
  <si>
    <t>Python dictionary for tvdb episode numbers</t>
  </si>
  <si>
    <t>What 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</si>
</sst>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NumberFormat="1"/>
    <xf numFmtId="14" fontId="0" fillId="0" borderId="0" xfId="0" applyNumberFormat="1"/>
  </cellXfs>
  <cellStyles count="1">
    <cellStyle name="Normal" xfId="0" builtinId="0"/>
  </cellStyles>
  <dxfs count="17">
    <dxf>
      <numFmt numFmtId="0" formatCode="General"/>
    </dxf>
    <dxf>
      <numFmt numFmtId="19" formatCode="d/m/yyyy"/>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7DECF9-DF78-4ECA-BC9E-959B9CB40D61}" name="Combined" displayName="Combined" ref="A2:N195" totalsRowShown="0">
  <autoFilter ref="A2:N195" xr:uid="{38259F17-49DB-404A-98E1-540D8120CAC0}"/>
  <tableColumns count="14">
    <tableColumn id="1" xr3:uid="{39890AEF-6AA3-41B1-A31A-D0995EA65AE4}" name="Episode number from TVMaze">
      <calculatedColumnFormula>TVMaze[[#This Row],[Episode number]]</calculatedColumnFormula>
    </tableColumn>
    <tableColumn id="2" xr3:uid="{AB226A08-9C32-41DC-B074-0468C96FC85D}" name="Have file" dataDxfId="16">
      <calculatedColumnFormula>IF(ISNUMBER(MATCH(Combined[Episode number from TVMaze],Files[Episode number],0)),TRUE,FALSE)</calculatedColumnFormula>
    </tableColumn>
    <tableColumn id="3" xr3:uid="{FCAA4F2A-F40A-4783-94E5-42166040E7D5}" name="Name from TVMaze" dataDxfId="15">
      <calculatedColumnFormula>TVMaze[[#This Row],[Name]]</calculatedColumnFormula>
    </tableColumn>
    <tableColumn id="4" xr3:uid="{ECBADB44-B543-40C5-BF87-F37E3A524A5E}" name="Name from TVDB" dataDxfId="14">
      <calculatedColumnFormula>VLOOKUP(Combined[[#This Row],[Episode number from TVMaze]],TVDB[],2,FALSE)</calculatedColumnFormula>
    </tableColumn>
    <tableColumn id="5" xr3:uid="{BC71C1BB-5464-4273-B183-A21BD78C9127}" name="Is name same" dataDxfId="13">
      <calculatedColumnFormula>_xlfn.IFNA(Combined[[#This Row],[Name from TVMaze]]=Combined[[#This Row],[Name from TVDB]],FALSE)</calculatedColumnFormula>
    </tableColumn>
    <tableColumn id="6" xr3:uid="{8BD93A53-F745-48AB-B391-FA12A017BCCF}" name="NFO created" dataDxfId="12"/>
    <tableColumn id="7" xr3:uid="{C48764E3-FF29-4FFB-9D3D-DFF95B9D80FD}" name="Originally Aired " dataDxfId="11">
      <calculatedColumnFormula>VLOOKUP(Combined[[#This Row],[Episode number from TVMaze]],TVMazePython[],3,FALSE)</calculatedColumnFormula>
    </tableColumn>
    <tableColumn id="8" xr3:uid="{85C3BD8C-ED7C-4533-BC8F-A0FDE56E8E38}" name="Plot" dataDxfId="10">
      <calculatedColumnFormula>VLOOKUP(Combined[[#This Row],[Episode number from TVMaze]],TVMazePython[],4,FALSE)</calculatedColumnFormula>
    </tableColumn>
    <tableColumn id="9" xr3:uid="{7233417B-6DAC-48BF-922E-3C9C4C5A99BE}" name="Path" dataDxfId="9">
      <calculatedColumnFormula>VLOOKUP(Combined[[#This Row],[Episode number from TVMaze]],Files[],3,FALSE)</calculatedColumnFormula>
    </tableColumn>
    <tableColumn id="10" xr3:uid="{25EED642-0C82-4D51-8246-2CBD9143DFF3}" name="Python dictionary for paths" dataDxfId="8">
      <calculatedColumnFormula>CHAR(34)&amp;Combined[[#This Row],[Episode number from TVMaze]]&amp;CHAR(34)&amp;": "&amp;CHAR(34)&amp;Combined[[#This Row],[Path]]&amp;CHAR(34)&amp;","</calculatedColumnFormula>
    </tableColumn>
    <tableColumn id="11" xr3:uid="{B6984246-B244-49D0-A0ED-CF0B14B545C3}" name="Correct TVDB episode number for getting image url" dataDxfId="7">
      <calculatedColumnFormula>IF(Combined[[#This Row],[Is name same]],Combined[[#This Row],[Episode number from TVMaze]],IF(Combined[[#This Row],[NFO created]]="No need",Combined[[#This Row],[Episode number from TVMaze]],""))</calculatedColumnFormula>
    </tableColumn>
    <tableColumn id="12" xr3:uid="{34453A88-CD2D-4F96-9629-35645F944B2A}" name="Python dictionary for tvdb episode numbers" dataDxfId="6">
      <calculatedColumnFormula>CHAR(34)&amp;Combined[[#This Row],[Episode number from TVMaze]]&amp;CHAR(34)&amp;": "&amp;CHAR(34)&amp;Combined[[#This Row],[Correct TVDB episode number for getting image url]]&amp;CHAR(34)&amp;","</calculatedColumnFormula>
    </tableColumn>
    <tableColumn id="13" xr3:uid="{2AC43993-72E0-4B49-934A-7E0130CE9496}" name="Is episode number the same?" dataDxfId="5">
      <calculatedColumnFormula>Combined[[#This Row],[Correct TVDB episode number for getting image url]]=Combined[[#This Row],[Episode number from TVMaze]]</calculatedColumnFormula>
    </tableColumn>
    <tableColumn id="14" xr3:uid="{721EB03F-BE5D-4DA7-A528-D85DED96FA91}" name="What to do" dataDxfId="0">
      <calculatedColumnFormula>IF(Combined[[#This Row],[Have file]],IF(LEN(Combined[[#This Row],[Correct TVDB episode number for getting image url]])=0,"Find correct episode number for TheTVDB",""),"Find episode on the internet")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A1C01A-5AB6-4B5D-8154-9A026303D5C9}" name="TVDB" displayName="TVDB" ref="A2:C192" totalsRowShown="0">
  <autoFilter ref="A2:C192" xr:uid="{3B0935E1-C29C-4EFA-B9F4-871BE79C64C5}"/>
  <tableColumns count="3">
    <tableColumn id="1" xr3:uid="{ECDC0D8D-6B16-49F4-B55A-B02D07946481}" name="Episode number"/>
    <tableColumn id="2" xr3:uid="{930868BE-9CAD-4EA8-943A-25276B24060B}" name="Name"/>
    <tableColumn id="3" xr3:uid="{D181D3D5-75C5-4401-A1BC-BD9499D01D2D}" name="Originally Aired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BBA277-F03D-489E-A994-8D87C3511CE7}" name="TVMaze" displayName="TVMaze" ref="E2:G195" totalsRowShown="0">
  <autoFilter ref="E2:G195" xr:uid="{13B89BA9-9F1B-4441-9BAC-BAA3E7C56B01}"/>
  <tableColumns count="3">
    <tableColumn id="1" xr3:uid="{48E070F5-7253-4B2D-89C6-247B9F786EFD}" name="Episode number"/>
    <tableColumn id="2" xr3:uid="{B879B599-7A43-4D9C-B913-BE1D0C8FF4D7}" name="Name"/>
    <tableColumn id="3" xr3:uid="{E9213A49-843B-43BD-9156-D9E8FA2DC291}" name="Originally Aired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0D44A5-FE23-4FE8-8467-CF61F51B997E}" name="Files" displayName="Files" ref="I2:K191" totalsRowShown="0">
  <autoFilter ref="I2:K191" xr:uid="{BFF4B394-8F2C-4B8C-B243-7209D209E094}"/>
  <tableColumns count="3">
    <tableColumn id="1" xr3:uid="{D775A20A-098A-4461-B5A6-11602070E3D3}" name="Episode number"/>
    <tableColumn id="2" xr3:uid="{74AC64E8-5ABA-443A-B2A5-8542A7D43CA8}" name="Name"/>
    <tableColumn id="3" xr3:uid="{1CE779AD-437C-4297-BF0A-CEC30133E631}" name="Pa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7A4BF-2125-4A7B-9324-657BC3B8CFA8}" name="Table1" displayName="Table1" ref="A1:E198" totalsRowShown="0">
  <autoFilter ref="A1:E198" xr:uid="{EA1EC125-595A-43C6-B9F4-9985D24D8ECB}">
    <filterColumn colId="0">
      <filters>
        <filter val="1"/>
        <filter val="10"/>
        <filter val="11"/>
        <filter val="12"/>
        <filter val="13"/>
        <filter val="14"/>
        <filter val="15"/>
        <filter val="16"/>
        <filter val="17"/>
        <filter val="18"/>
        <filter val="19"/>
        <filter val="2"/>
        <filter val="3"/>
        <filter val="4"/>
        <filter val="5"/>
        <filter val="6"/>
        <filter val="7"/>
        <filter val="8"/>
        <filter val="9"/>
      </filters>
    </filterColumn>
  </autoFilter>
  <tableColumns count="5">
    <tableColumn id="1" xr3:uid="{16AFE366-FC05-40B2-8390-B733AB0F35E2}" name="Season"/>
    <tableColumn id="2" xr3:uid="{346A07E9-27CB-4F31-A663-D350D5AB6D34}" name="Episode"/>
    <tableColumn id="6" xr3:uid="{133B9D30-F49B-45ED-A023-865EC66DB4CF}" name="Episode number" dataDxfId="4">
      <calculatedColumnFormula>"S"&amp;TEXT(Table1[[#This Row],[Season]],"00")&amp;"E"&amp;TEXT(Table1[[#This Row],[Episode]],"00")</calculatedColumnFormula>
    </tableColumn>
    <tableColumn id="3" xr3:uid="{22B12328-EC4F-43AE-A489-18210A0DC18F}" name="Name "/>
    <tableColumn id="4" xr3:uid="{E47C4A61-A6B3-43A3-9ECD-BB4D6996DE9D}" name="Originally Aired "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E0D8C6-BB3E-48C4-8FE9-24073C2F0CBC}" name="Table2" displayName="Table2" ref="A1:F630" totalsRowShown="0">
  <autoFilter ref="A1:F630" xr:uid="{3F41A1FE-BB14-4324-8289-920370F83C99}">
    <filterColumn colId="2">
      <filters>
        <filter val="Apr 11, 2007"/>
        <filter val="Apr 12, 2006"/>
        <filter val="Apr 13, 2005"/>
        <filter val="Apr 15, 2009"/>
        <filter val="Apr 18, 2007"/>
        <filter val="Apr 19, 2006"/>
        <filter val="Apr 2, 2008"/>
        <filter val="Apr 20, 2005"/>
        <filter val="Apr 22, 2009"/>
        <filter val="Apr 25, 2007"/>
        <filter val="Apr 26, 2006"/>
        <filter val="Apr 27, 2005"/>
        <filter val="Apr 29, 1999"/>
        <filter val="Apr 29, 2009"/>
        <filter val="Apr 4, 2007"/>
        <filter val="Apr 5, 2006"/>
        <filter val="Apr 6, 2005"/>
        <filter val="Apr 8, 2009"/>
        <filter val="Aug 14, 2001"/>
        <filter val="Aug 21, 2001"/>
        <filter val="Aug 28, 2001"/>
        <filter val="Aug 7, 2001"/>
        <filter val="Dec 1, 2010"/>
        <filter val="Dec 15, 2010"/>
        <filter val="Dec 5, 2012"/>
        <filter val="Dec 6, 2001"/>
        <filter val="Dec 8, 2010"/>
        <filter val="Feb 11, 2004"/>
        <filter val="Feb 11, 2009"/>
        <filter val="Feb 12, 2003"/>
        <filter val="Feb 13, 2008"/>
        <filter val="Feb 18, 2004"/>
        <filter val="Feb 18, 2009"/>
        <filter val="Feb 19, 2003"/>
        <filter val="Feb 20, 2008"/>
        <filter val="Feb 25, 2004"/>
        <filter val="Feb 25, 2009"/>
        <filter val="Feb 26, 2003"/>
        <filter val="Feb 27, 2008"/>
        <filter val="Feb 28, 2007"/>
        <filter val="Feb 4, 2004"/>
        <filter val="Feb 4, 2009"/>
        <filter val="Feb 6, 2008"/>
        <filter val="Jan 16, 2008"/>
        <filter val="Jan 21, 2004"/>
        <filter val="Jan 23, 2008"/>
        <filter val="Jan 28, 2004"/>
        <filter val="Jan 28, 2009"/>
        <filter val="Jan 30, 2008"/>
        <filter val="Jul 16, 2015"/>
        <filter val="Jul 17, 2001"/>
        <filter val="Jul 23, 2015"/>
        <filter val="Jul 24, 2001"/>
        <filter val="Jul 30, 2015"/>
        <filter val="Jul 31, 2001"/>
        <filter val="Jul 9, 2015"/>
        <filter val="Jun 10, 1999"/>
        <filter val="Jun 17, 1999"/>
        <filter val="Jun 24, 1999"/>
        <filter val="Jun 3, 1999"/>
        <filter val="Mar 10, 2004"/>
        <filter val="Mar 11, 2009"/>
        <filter val="Mar 12, 2003"/>
        <filter val="Mar 12, 2008"/>
        <filter val="Mar 14, 2007"/>
        <filter val="Mar 18, 2009"/>
        <filter val="Mar 19, 2008"/>
        <filter val="Mar 21, 2007"/>
        <filter val="Mar 25, 2009"/>
        <filter val="Mar 26, 2008"/>
        <filter val="Mar 28, 2007"/>
        <filter val="Mar 3, 2004"/>
        <filter val="Mar 4, 2009"/>
        <filter val="Mar 5, 2003"/>
        <filter val="Mar 5, 2008"/>
        <filter val="Mar 7, 2007"/>
        <filter val="May 10, 2006"/>
        <filter val="May 13, 1999"/>
        <filter val="May 16, 2007"/>
        <filter val="May 17, 2006"/>
        <filter val="May 2, 2007"/>
        <filter val="May 20, 1999"/>
        <filter val="May 23, 2006"/>
        <filter val="May 3, 2006"/>
        <filter val="May 30, 2017"/>
        <filter val="May 4, 2005"/>
        <filter val="May 6, 1999"/>
        <filter val="May 9, 2007"/>
        <filter val="Nov 1, 2017"/>
        <filter val="Nov 10, 2010"/>
        <filter val="Nov 13, 2013"/>
        <filter val="Nov 13, 2015"/>
        <filter val="Nov 14, 2012"/>
        <filter val="Nov 15, 2001"/>
        <filter val="Nov 16, 2005"/>
        <filter val="Nov 16, 2011"/>
        <filter val="Nov 17, 2010"/>
        <filter val="Nov 17, 2016"/>
        <filter val="Nov 2, 2005"/>
        <filter val="Nov 2, 2011"/>
        <filter val="Nov 2, 2016"/>
        <filter val="Nov 21, 2012"/>
        <filter val="Nov 22, 2001"/>
        <filter val="Nov 23, 2011"/>
        <filter val="Nov 24, 2010"/>
        <filter val="Nov 28, 2012"/>
        <filter val="Nov 29, 2001"/>
        <filter val="Nov 3, 2010"/>
        <filter val="Nov 30, 2011"/>
        <filter val="Nov 5, 2014"/>
        <filter val="Nov 6, 2013"/>
        <filter val="Nov 7, 2012"/>
        <filter val="Nov 8, 2001"/>
        <filter val="Nov 9, 2005"/>
        <filter val="Nov 9, 2011"/>
        <filter val="Oct 1, 2002"/>
        <filter val="Oct 1, 2003"/>
        <filter val="Oct 1, 2014"/>
        <filter val="Oct 10, 2012"/>
        <filter val="Oct 10, 2018"/>
        <filter val="Oct 11, 2017"/>
        <filter val="Oct 12, 2011"/>
        <filter val="Oct 12, 2016"/>
        <filter val="Oct 13, 2005"/>
        <filter val="Oct 13, 2010"/>
        <filter val="Oct 14, 2015"/>
        <filter val="Oct 15, 2003"/>
        <filter val="Oct 15, 2014"/>
        <filter val="Oct 16, 2013"/>
        <filter val="Oct 17, 2012"/>
        <filter val="Oct 17, 2018"/>
        <filter val="Oct 18, 2017"/>
        <filter val="Oct 19, 2005"/>
        <filter val="Oct 19, 2011"/>
        <filter val="Oct 19, 2016"/>
        <filter val="Oct 2, 2013"/>
        <filter val="Oct 20, 2010"/>
        <filter val="Oct 21, 2015"/>
        <filter val="Oct 22, 2003"/>
        <filter val="Oct 22, 2014"/>
        <filter val="Oct 23, 2013"/>
        <filter val="Oct 24, 2012"/>
        <filter val="Oct 24, 2018"/>
        <filter val="Oct 25, 2017"/>
        <filter val="Oct 26, 2005"/>
        <filter val="Oct 26, 2011"/>
        <filter val="Oct 26, 2016"/>
        <filter val="Oct 27, 2010"/>
        <filter val="Oct 28, 2015"/>
        <filter val="Oct 29, 2003"/>
        <filter val="Oct 29, 2014"/>
        <filter val="Oct 3, 2018"/>
        <filter val="Oct 30, 2013"/>
        <filter val="Oct 31, 2012"/>
        <filter val="Oct 31, 2018"/>
        <filter val="Oct 4, 2017"/>
        <filter val="Oct 5, 2011"/>
        <filter val="Oct 5, 2016"/>
        <filter val="Oct 6, 2010"/>
        <filter val="Oct 7, 2015"/>
        <filter val="Oct 8, 2003"/>
        <filter val="Oct 8, 2014"/>
        <filter val="Oct 9, 2013"/>
        <filter val="Sep 10, 2002"/>
        <filter val="Sep 10, 2014"/>
        <filter val="Sep 11, 2013"/>
        <filter val="Sep 12, 2012"/>
        <filter val="Sep 13, 2017"/>
        <filter val="Sep 14, 2011"/>
        <filter val="Sep 15, 2010"/>
        <filter val="Sep 16, 2015"/>
        <filter val="Sep 17, 2002"/>
        <filter val="Sep 17, 2003"/>
        <filter val="Sep 17, 2014"/>
        <filter val="Sep 18, 2013"/>
        <filter val="Sep 19, 2012"/>
        <filter val="Sep 19, 2018"/>
        <filter val="Sep 20, 2017"/>
        <filter val="Sep 21, 2011"/>
        <filter val="Sep 21, 2016"/>
        <filter val="Sep 22, 2010"/>
        <filter val="Sep 23, 2015"/>
        <filter val="Sep 24, 2002"/>
        <filter val="Sep 24, 2003"/>
        <filter val="Sep 24, 2014"/>
        <filter val="Sep 25, 2013"/>
        <filter val="Sep 26, 2012"/>
        <filter val="Sep 26, 2018"/>
        <filter val="Sep 27, 2017"/>
        <filter val="Sep 28, 2011"/>
        <filter val="Sep 28, 2016"/>
        <filter val="Sep 29, 2010"/>
        <filter val="Sep 3, 2014"/>
        <filter val="Sep 30, 2015"/>
        <filter val="Sep 4, 2001"/>
        <filter val="Sep 4, 2013"/>
        <filter val="Sep 6, 2017"/>
        <filter val="Sep 9, 2015"/>
      </filters>
    </filterColumn>
  </autoFilter>
  <tableColumns count="6">
    <tableColumn id="6" xr3:uid="{DFF26D49-0D1A-4236-9B9F-42E1D1456970}" name="Season"/>
    <tableColumn id="1" xr3:uid="{AC634E7E-604D-428B-8218-D70D763A826C}" name="Number"/>
    <tableColumn id="2" xr3:uid="{7F10BB3B-1EBC-45AD-92C0-E5F26CC878EB}" name="Airdate"/>
    <tableColumn id="3" xr3:uid="{EAE6C43B-8997-46E9-A7E2-E66AD0160395}" name="Name"/>
    <tableColumn id="4" xr3:uid="{6BCF21CA-837B-4E26-B01D-B0E381E1FEA1}" name="Score"/>
    <tableColumn id="5" xr3:uid="{76D3929D-5B56-4C9F-BF38-B2C1181B15BF}"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1CC816-2B9B-4E3B-B253-0D942E5B8903}" name="Table3" displayName="Table3" ref="A1:E199" totalsRowShown="0">
  <autoFilter ref="A1:E199" xr:uid="{4CB3B00E-1446-4273-BDAB-5AEE7EA0CBB6}"/>
  <tableColumns count="5">
    <tableColumn id="1" xr3:uid="{55559927-237E-438F-96D2-9CE237C9EE9A}" name="Season"/>
    <tableColumn id="2" xr3:uid="{465BD17B-F6ED-41AC-93EE-0FEC75F8491A}" name="Episode"/>
    <tableColumn id="7" xr3:uid="{1DDAA33E-38D6-445D-9763-DAAC0B7BAF10}" name="Episode number" dataDxfId="2">
      <calculatedColumnFormula>"S"&amp;TEXT(Table3[[#This Row],[Season]],"00")&amp;"E"&amp;TEXT(Table3[[#This Row],[Episode]],"00")</calculatedColumnFormula>
    </tableColumn>
    <tableColumn id="4" xr3:uid="{E3E8C794-F27D-4799-A615-CB294CE8EFE5}" name="Name "/>
    <tableColumn id="3" xr3:uid="{B17498B0-9164-4AC9-A676-68BAD36A92AD}" name="Originally Aired "/>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1C8918-10F4-4852-8B72-3A0BA1690ED4}" name="TVMazePython" displayName="TVMazePython" ref="A1:D194" totalsRowShown="0">
  <autoFilter ref="A1:D194" xr:uid="{28D8D4E7-EC40-4E72-874C-3626F9F06ABF}"/>
  <tableColumns count="4">
    <tableColumn id="1" xr3:uid="{E6A847C5-6D47-4A99-9D28-C36241B09EA1}" name="Episode number"/>
    <tableColumn id="2" xr3:uid="{64FE8AE2-BFF7-49FB-9529-4ACF54C9045E}" name="Name "/>
    <tableColumn id="3" xr3:uid="{C1D2F424-5559-441E-8AF3-4E8A05FA85CE}" name="Originally Aired " dataDxfId="1"/>
    <tableColumn id="4" xr3:uid="{1C8A5642-D7B9-47B9-8E72-7D1262247A88}" name="Plo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408A7B-D15E-409B-94D4-9C5F3271A5E1}" name="Table8" displayName="Table8" ref="A1:C190" totalsRowShown="0">
  <autoFilter ref="A1:C190" xr:uid="{D6606B54-2F9A-49C9-A533-33C7F46B993B}"/>
  <tableColumns count="3">
    <tableColumn id="1" xr3:uid="{396034B2-EED4-4C50-8F79-22D2D3BEC1E8}" name="Episode number"/>
    <tableColumn id="2" xr3:uid="{0A55F085-21CD-406A-A8B9-805447E40BE2}" name="Name"/>
    <tableColumn id="3" xr3:uid="{392882C0-4DD7-49F2-94A7-05893D3EF311}" name="Pa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C4DBC-94D5-4199-8C56-A0FA5D2861D2}">
  <dimension ref="A1:N195"/>
  <sheetViews>
    <sheetView tabSelected="1" zoomScaleNormal="100" workbookViewId="0">
      <selection activeCell="K38" sqref="K38"/>
    </sheetView>
  </sheetViews>
  <sheetFormatPr defaultRowHeight="15" x14ac:dyDescent="0.25"/>
  <cols>
    <col min="1" max="1" width="12" customWidth="1"/>
    <col min="3" max="3" width="104.5703125" bestFit="1" customWidth="1"/>
    <col min="4" max="4" width="47.42578125" hidden="1" customWidth="1"/>
    <col min="5" max="5" width="0" hidden="1" customWidth="1"/>
    <col min="7" max="7" width="10.140625" style="3" hidden="1" customWidth="1"/>
    <col min="8" max="8" width="0" hidden="1" customWidth="1"/>
    <col min="10" max="10" width="10.5703125" customWidth="1"/>
    <col min="12" max="12" width="8.7109375" customWidth="1"/>
    <col min="14" max="14" width="38.85546875" bestFit="1" customWidth="1"/>
  </cols>
  <sheetData>
    <row r="1" spans="1:14" x14ac:dyDescent="0.25">
      <c r="A1" t="s">
        <v>1310</v>
      </c>
    </row>
    <row r="2" spans="1:14" x14ac:dyDescent="0.25">
      <c r="A2" t="s">
        <v>1309</v>
      </c>
      <c r="B2" t="s">
        <v>1311</v>
      </c>
      <c r="C2" t="s">
        <v>1312</v>
      </c>
      <c r="D2" t="s">
        <v>1313</v>
      </c>
      <c r="E2" t="s">
        <v>1314</v>
      </c>
      <c r="F2" t="s">
        <v>1315</v>
      </c>
      <c r="G2" s="3" t="s">
        <v>2</v>
      </c>
      <c r="H2" t="s">
        <v>1510</v>
      </c>
      <c r="I2" t="s">
        <v>1700</v>
      </c>
      <c r="J2" t="s">
        <v>1703</v>
      </c>
      <c r="K2" t="s">
        <v>1701</v>
      </c>
      <c r="L2" t="s">
        <v>1704</v>
      </c>
      <c r="M2" t="s">
        <v>1702</v>
      </c>
      <c r="N2" t="s">
        <v>1705</v>
      </c>
    </row>
    <row r="3" spans="1:14" x14ac:dyDescent="0.25">
      <c r="A3" t="str">
        <f>TVMaze[[#This Row],[Episode number]]</f>
        <v>S01E01</v>
      </c>
      <c r="B3" t="b">
        <f>IF(ISNUMBER(MATCH(Combined[Episode number from TVMaze],Files[Episode number],0)),TRUE,FALSE)</f>
        <v>1</v>
      </c>
      <c r="C3" t="str">
        <f>TVMaze[[#This Row],[Name]]</f>
        <v>Newhaven: The Timber Frame Kit House</v>
      </c>
      <c r="D3" t="str">
        <f>VLOOKUP(Combined[[#This Row],[Episode number from TVMaze]],TVDB[],2,FALSE)</f>
        <v>Newhaven: The Timber Frame Kit House</v>
      </c>
      <c r="E3" s="2" t="b">
        <f>_xlfn.IFNA(Combined[[#This Row],[Name from TVMaze]]=Combined[[#This Row],[Name from TVDB]],FALSE)</f>
        <v>1</v>
      </c>
      <c r="F3" s="2"/>
      <c r="G3" s="3">
        <f>VLOOKUP(Combined[[#This Row],[Episode number from TVMaze]],TVMazePython[],3,FALSE)</f>
        <v>36279</v>
      </c>
      <c r="H3" s="2" t="str">
        <f>VLOOKUP(Combined[[#This Row],[Episode number from TVMaze]],TVMazePython[],4,FALSE)</f>
        <v>Tim Cox and Julia Brock want to build their home on a clifftop in Newhaven.</v>
      </c>
      <c r="I3" s="2" t="str">
        <f>VLOOKUP(Combined[[#This Row],[Episode number from TVMaze]],Files[],3,FALSE)</f>
        <v>/home/ziga/share/Series/Other/0 Home and Gardening/Grand Designs/Season 01/Grand Designs - S01E01 - Newhaven - The Timber Frame Kit House.avi</v>
      </c>
      <c r="J3" s="2" t="str">
        <f>CHAR(34)&amp;Combined[[#This Row],[Episode number from TVMaze]]&amp;CHAR(34)&amp;": "&amp;CHAR(34)&amp;Combined[[#This Row],[Path]]&amp;CHAR(34)&amp;","</f>
        <v>"S01E01": "/home/ziga/share/Series/Other/0 Home and Gardening/Grand Designs/Season 01/Grand Designs - S01E01 - Newhaven - The Timber Frame Kit House.avi",</v>
      </c>
      <c r="K3" s="2" t="str">
        <f>IF(Combined[[#This Row],[Is name same]],Combined[[#This Row],[Episode number from TVMaze]],IF(Combined[[#This Row],[NFO created]]="No need",Combined[[#This Row],[Episode number from TVMaze]],""))</f>
        <v>S01E01</v>
      </c>
      <c r="L3" s="2" t="str">
        <f>CHAR(34)&amp;Combined[[#This Row],[Episode number from TVMaze]]&amp;CHAR(34)&amp;": "&amp;CHAR(34)&amp;Combined[[#This Row],[Correct TVDB episode number for getting image url]]&amp;CHAR(34)&amp;","</f>
        <v>"S01E01": "S01E01",</v>
      </c>
      <c r="M3" s="2" t="b">
        <f>Combined[[#This Row],[Correct TVDB episode number for getting image url]]=Combined[[#This Row],[Episode number from TVMaze]]</f>
        <v>1</v>
      </c>
      <c r="N3" s="2" t="str">
        <f>IF(Combined[[#This Row],[Have file]],IF(LEN(Combined[[#This Row],[Correct TVDB episode number for getting image url]])=0,"Find correct episode number for TheTVDB",""),"Find episode on the internet")</f>
        <v/>
      </c>
    </row>
    <row r="4" spans="1:14" x14ac:dyDescent="0.25">
      <c r="A4" t="str">
        <f>TVMaze[[#This Row],[Episode number]]</f>
        <v>S01E02</v>
      </c>
      <c r="B4" t="b">
        <f>IF(ISNUMBER(MATCH(Combined[Episode number from TVMaze],Files[Episode number],0)),TRUE,FALSE)</f>
        <v>1</v>
      </c>
      <c r="C4" t="str">
        <f>TVMaze[[#This Row],[Name]]</f>
        <v>Berkshire: English Barn</v>
      </c>
      <c r="D4" t="str">
        <f>VLOOKUP(Combined[[#This Row],[Episode number from TVMaze]],TVDB[],2,FALSE)</f>
        <v>Berkshire: English Barn</v>
      </c>
      <c r="E4" s="2" t="b">
        <f>_xlfn.IFNA(Combined[[#This Row],[Name from TVMaze]]=Combined[[#This Row],[Name from TVDB]],FALSE)</f>
        <v>1</v>
      </c>
      <c r="F4" s="2"/>
      <c r="G4" s="3">
        <f>VLOOKUP(Combined[[#This Row],[Episode number from TVMaze]],TVMazePython[],3,FALSE)</f>
        <v>36286</v>
      </c>
      <c r="H4" s="2" t="str">
        <f>VLOOKUP(Combined[[#This Row],[Episode number from TVMaze]],TVMazePython[],4,FALSE)</f>
        <v>Kevin travels to Berkshire to see the conversion of an English barn by Denys and Marjorie Randolph.</v>
      </c>
      <c r="I4" s="2" t="str">
        <f>VLOOKUP(Combined[[#This Row],[Episode number from TVMaze]],Files[],3,FALSE)</f>
        <v>/home/ziga/share/Series/Other/0 Home and Gardening/Grand Designs/Season 01/Grand Designs - S01E02 - Berkshire - English Barn.avi</v>
      </c>
      <c r="J4" s="2" t="str">
        <f>CHAR(34)&amp;Combined[[#This Row],[Episode number from TVMaze]]&amp;CHAR(34)&amp;": "&amp;CHAR(34)&amp;Combined[[#This Row],[Path]]&amp;CHAR(34)&amp;","</f>
        <v>"S01E02": "/home/ziga/share/Series/Other/0 Home and Gardening/Grand Designs/Season 01/Grand Designs - S01E02 - Berkshire - English Barn.avi",</v>
      </c>
      <c r="K4" s="2" t="str">
        <f>IF(Combined[[#This Row],[Is name same]],Combined[[#This Row],[Episode number from TVMaze]],IF(Combined[[#This Row],[NFO created]]="No need",Combined[[#This Row],[Episode number from TVMaze]],""))</f>
        <v>S01E02</v>
      </c>
      <c r="L4" s="2" t="str">
        <f>CHAR(34)&amp;Combined[[#This Row],[Episode number from TVMaze]]&amp;CHAR(34)&amp;": "&amp;CHAR(34)&amp;Combined[[#This Row],[Correct TVDB episode number for getting image url]]&amp;CHAR(34)&amp;","</f>
        <v>"S01E02": "S01E02",</v>
      </c>
      <c r="M4" s="2" t="b">
        <f>Combined[[#This Row],[Correct TVDB episode number for getting image url]]=Combined[[#This Row],[Episode number from TVMaze]]</f>
        <v>1</v>
      </c>
      <c r="N4" s="2" t="str">
        <f>IF(Combined[[#This Row],[Have file]],IF(LEN(Combined[[#This Row],[Correct TVDB episode number for getting image url]])=0,"Find correct episode number for TheTVDB",""),"Find episode on the internet")</f>
        <v/>
      </c>
    </row>
    <row r="5" spans="1:14" x14ac:dyDescent="0.25">
      <c r="A5" t="str">
        <f>TVMaze[[#This Row],[Episode number]]</f>
        <v>S01E03</v>
      </c>
      <c r="B5" t="b">
        <f>IF(ISNUMBER(MATCH(Combined[Episode number from TVMaze],Files[Episode number],0)),TRUE,FALSE)</f>
        <v>1</v>
      </c>
      <c r="C5" t="str">
        <f>TVMaze[[#This Row],[Name]]</f>
        <v>Brighton: The Co-Operative Build</v>
      </c>
      <c r="D5" t="str">
        <f>VLOOKUP(Combined[[#This Row],[Episode number from TVMaze]],TVDB[],2,FALSE)</f>
        <v>Brighton: The Co-Operative Build</v>
      </c>
      <c r="E5" s="2" t="b">
        <f>_xlfn.IFNA(Combined[[#This Row],[Name from TVMaze]]=Combined[[#This Row],[Name from TVDB]],FALSE)</f>
        <v>1</v>
      </c>
      <c r="F5" s="2"/>
      <c r="G5" s="3">
        <f>VLOOKUP(Combined[[#This Row],[Episode number from TVMaze]],TVMazePython[],3,FALSE)</f>
        <v>36293</v>
      </c>
      <c r="H5" s="2" t="str">
        <f>VLOOKUP(Combined[[#This Row],[Episode number from TVMaze]],TVMazePython[],4,FALSE)</f>
        <v>Started in 1998, this development of ten timber frame houses is based on the Walter Segal method of construction and was led by Jenny and Paul Crouch. They incorporate high levels of Warmcell insulation and benefit from south-facing solar gain. The roofs are of sedum. Episode Revisited on 13 March 2001.</v>
      </c>
      <c r="I5" s="2" t="str">
        <f>VLOOKUP(Combined[[#This Row],[Episode number from TVMaze]],Files[],3,FALSE)</f>
        <v>/home/ziga/share/Series/Other/0 Home and Gardening/Grand Designs/Season 01/Grand Designs - S01E03 - Brighton - The Co-Operative Build.avi</v>
      </c>
      <c r="J5" s="2" t="str">
        <f>CHAR(34)&amp;Combined[[#This Row],[Episode number from TVMaze]]&amp;CHAR(34)&amp;": "&amp;CHAR(34)&amp;Combined[[#This Row],[Path]]&amp;CHAR(34)&amp;","</f>
        <v>"S01E03": "/home/ziga/share/Series/Other/0 Home and Gardening/Grand Designs/Season 01/Grand Designs - S01E03 - Brighton - The Co-Operative Build.avi",</v>
      </c>
      <c r="K5" s="2" t="str">
        <f>IF(Combined[[#This Row],[Is name same]],Combined[[#This Row],[Episode number from TVMaze]],IF(Combined[[#This Row],[NFO created]]="No need",Combined[[#This Row],[Episode number from TVMaze]],""))</f>
        <v>S01E03</v>
      </c>
      <c r="L5" s="2" t="str">
        <f>CHAR(34)&amp;Combined[[#This Row],[Episode number from TVMaze]]&amp;CHAR(34)&amp;": "&amp;CHAR(34)&amp;Combined[[#This Row],[Correct TVDB episode number for getting image url]]&amp;CHAR(34)&amp;","</f>
        <v>"S01E03": "S01E03",</v>
      </c>
      <c r="M5" s="2" t="b">
        <f>Combined[[#This Row],[Correct TVDB episode number for getting image url]]=Combined[[#This Row],[Episode number from TVMaze]]</f>
        <v>1</v>
      </c>
      <c r="N5" s="2" t="str">
        <f>IF(Combined[[#This Row],[Have file]],IF(LEN(Combined[[#This Row],[Correct TVDB episode number for getting image url]])=0,"Find correct episode number for TheTVDB",""),"Find episode on the internet")</f>
        <v/>
      </c>
    </row>
    <row r="6" spans="1:14" x14ac:dyDescent="0.25">
      <c r="A6" t="str">
        <f>TVMaze[[#This Row],[Episode number]]</f>
        <v>S01E04</v>
      </c>
      <c r="B6" t="b">
        <f>IF(ISNUMBER(MATCH(Combined[Episode number from TVMaze],Files[Episode number],0)),TRUE,FALSE)</f>
        <v>1</v>
      </c>
      <c r="C6" t="str">
        <f>TVMaze[[#This Row],[Name]]</f>
        <v>Amersham: The Water Tower</v>
      </c>
      <c r="D6" t="str">
        <f>VLOOKUP(Combined[[#This Row],[Episode number from TVMaze]],TVDB[],2,FALSE)</f>
        <v>Amersham: The Water Tower</v>
      </c>
      <c r="E6" s="2" t="b">
        <f>_xlfn.IFNA(Combined[[#This Row],[Name from TVMaze]]=Combined[[#This Row],[Name from TVDB]],FALSE)</f>
        <v>1</v>
      </c>
      <c r="F6" s="2"/>
      <c r="G6" s="3">
        <f>VLOOKUP(Combined[[#This Row],[Episode number from TVMaze]],TVMazePython[],3,FALSE)</f>
        <v>36300</v>
      </c>
      <c r="H6" s="2" t="str">
        <f>VLOOKUP(Combined[[#This Row],[Episode number from TVMaze]],TVMazePython[],4,FALSE)</f>
        <v>Kevin travels to Amersham to see the conversion of an old water tower into a stylish new home by Deborah Mills and architect Andrew Tate.</v>
      </c>
      <c r="I6" s="2" t="str">
        <f>VLOOKUP(Combined[[#This Row],[Episode number from TVMaze]],Files[],3,FALSE)</f>
        <v>/home/ziga/share/Series/Other/0 Home and Gardening/Grand Designs/Season 01/Grand Designs - S01E04 - Amersham - The Water Tower.avi</v>
      </c>
      <c r="J6" s="2" t="str">
        <f>CHAR(34)&amp;Combined[[#This Row],[Episode number from TVMaze]]&amp;CHAR(34)&amp;": "&amp;CHAR(34)&amp;Combined[[#This Row],[Path]]&amp;CHAR(34)&amp;","</f>
        <v>"S01E04": "/home/ziga/share/Series/Other/0 Home and Gardening/Grand Designs/Season 01/Grand Designs - S01E04 - Amersham - The Water Tower.avi",</v>
      </c>
      <c r="K6" s="2" t="str">
        <f>IF(Combined[[#This Row],[Is name same]],Combined[[#This Row],[Episode number from TVMaze]],IF(Combined[[#This Row],[NFO created]]="No need",Combined[[#This Row],[Episode number from TVMaze]],""))</f>
        <v>S01E04</v>
      </c>
      <c r="L6" s="2" t="str">
        <f>CHAR(34)&amp;Combined[[#This Row],[Episode number from TVMaze]]&amp;CHAR(34)&amp;": "&amp;CHAR(34)&amp;Combined[[#This Row],[Correct TVDB episode number for getting image url]]&amp;CHAR(34)&amp;","</f>
        <v>"S01E04": "S01E04",</v>
      </c>
      <c r="M6" s="2" t="b">
        <f>Combined[[#This Row],[Correct TVDB episode number for getting image url]]=Combined[[#This Row],[Episode number from TVMaze]]</f>
        <v>1</v>
      </c>
      <c r="N6" s="2" t="str">
        <f>IF(Combined[[#This Row],[Have file]],IF(LEN(Combined[[#This Row],[Correct TVDB episode number for getting image url]])=0,"Find correct episode number for TheTVDB",""),"Find episode on the internet")</f>
        <v/>
      </c>
    </row>
    <row r="7" spans="1:14" x14ac:dyDescent="0.25">
      <c r="A7" t="str">
        <f>TVMaze[[#This Row],[Episode number]]</f>
        <v>S01E05</v>
      </c>
      <c r="B7" t="b">
        <f>IF(ISNUMBER(MATCH(Combined[Episode number from TVMaze],Files[Episode number],0)),TRUE,FALSE)</f>
        <v>1</v>
      </c>
      <c r="C7" t="str">
        <f>TVMaze[[#This Row],[Name]]</f>
        <v>Suffolk: The Eco-House</v>
      </c>
      <c r="D7" t="str">
        <f>VLOOKUP(Combined[[#This Row],[Episode number from TVMaze]],TVDB[],2,FALSE)</f>
        <v>Suffolk: The Eco-House</v>
      </c>
      <c r="E7" s="2" t="b">
        <f>_xlfn.IFNA(Combined[[#This Row],[Name from TVMaze]]=Combined[[#This Row],[Name from TVDB]],FALSE)</f>
        <v>1</v>
      </c>
      <c r="F7" s="2"/>
      <c r="G7" s="3">
        <f>VLOOKUP(Combined[[#This Row],[Episode number from TVMaze]],TVMazePython[],3,FALSE)</f>
        <v>36314</v>
      </c>
      <c r="H7" s="2" t="str">
        <f>VLOOKUP(Combined[[#This Row],[Episode number from TVMaze]],TVMazePython[],4,FALSE)</f>
        <v>Kevin travels to Suffolk to see the build of an environmentally friendly house by former tax inspector Rob Roy. Episode Revisited 15 March 2001.</v>
      </c>
      <c r="I7" s="2" t="str">
        <f>VLOOKUP(Combined[[#This Row],[Episode number from TVMaze]],Files[],3,FALSE)</f>
        <v>/home/ziga/share/Series/Other/0 Home and Gardening/Grand Designs/Season 01/Grand Designs - S01E05 - Suffolk - The Eco-House.avi</v>
      </c>
      <c r="J7" s="2" t="str">
        <f>CHAR(34)&amp;Combined[[#This Row],[Episode number from TVMaze]]&amp;CHAR(34)&amp;": "&amp;CHAR(34)&amp;Combined[[#This Row],[Path]]&amp;CHAR(34)&amp;","</f>
        <v>"S01E05": "/home/ziga/share/Series/Other/0 Home and Gardening/Grand Designs/Season 01/Grand Designs - S01E05 - Suffolk - The Eco-House.avi",</v>
      </c>
      <c r="K7" s="2" t="str">
        <f>IF(Combined[[#This Row],[Is name same]],Combined[[#This Row],[Episode number from TVMaze]],IF(Combined[[#This Row],[NFO created]]="No need",Combined[[#This Row],[Episode number from TVMaze]],""))</f>
        <v>S01E05</v>
      </c>
      <c r="L7" s="2" t="str">
        <f>CHAR(34)&amp;Combined[[#This Row],[Episode number from TVMaze]]&amp;CHAR(34)&amp;": "&amp;CHAR(34)&amp;Combined[[#This Row],[Correct TVDB episode number for getting image url]]&amp;CHAR(34)&amp;","</f>
        <v>"S01E05": "S01E05",</v>
      </c>
      <c r="M7" s="2" t="b">
        <f>Combined[[#This Row],[Correct TVDB episode number for getting image url]]=Combined[[#This Row],[Episode number from TVMaze]]</f>
        <v>1</v>
      </c>
      <c r="N7" s="2" t="str">
        <f>IF(Combined[[#This Row],[Have file]],IF(LEN(Combined[[#This Row],[Correct TVDB episode number for getting image url]])=0,"Find correct episode number for TheTVDB",""),"Find episode on the internet")</f>
        <v/>
      </c>
    </row>
    <row r="8" spans="1:14" x14ac:dyDescent="0.25">
      <c r="A8" t="str">
        <f>TVMaze[[#This Row],[Episode number]]</f>
        <v>S01E06</v>
      </c>
      <c r="B8" t="b">
        <f>IF(ISNUMBER(MATCH(Combined[Episode number from TVMaze],Files[Episode number],0)),TRUE,FALSE)</f>
        <v>1</v>
      </c>
      <c r="C8" t="str">
        <f>TVMaze[[#This Row],[Name]]</f>
        <v>Cornwall: The Chapel</v>
      </c>
      <c r="D8" t="str">
        <f>VLOOKUP(Combined[[#This Row],[Episode number from TVMaze]],TVDB[],2,FALSE)</f>
        <v>Cornwall: The Chapel</v>
      </c>
      <c r="E8" s="2" t="b">
        <f>_xlfn.IFNA(Combined[[#This Row],[Name from TVMaze]]=Combined[[#This Row],[Name from TVDB]],FALSE)</f>
        <v>1</v>
      </c>
      <c r="F8" s="2"/>
      <c r="G8" s="3">
        <f>VLOOKUP(Combined[[#This Row],[Episode number from TVMaze]],TVMazePython[],3,FALSE)</f>
        <v>36321</v>
      </c>
      <c r="H8" s="2" t="str">
        <f>VLOOKUP(Combined[[#This Row],[Episode number from TVMaze]],TVMazePython[],4,FALSE)</f>
        <v>Kevin travels to Cornwall to see the conversion of an old chapel by Gavin Allen and Jane Fitzsimons.</v>
      </c>
      <c r="I8" s="2" t="str">
        <f>VLOOKUP(Combined[[#This Row],[Episode number from TVMaze]],Files[],3,FALSE)</f>
        <v>/home/ziga/share/Series/Other/0 Home and Gardening/Grand Designs/Season 01/Grand Designs - S01E06 - Cornwall - The Chapel.avi</v>
      </c>
      <c r="J8" s="2" t="str">
        <f>CHAR(34)&amp;Combined[[#This Row],[Episode number from TVMaze]]&amp;CHAR(34)&amp;": "&amp;CHAR(34)&amp;Combined[[#This Row],[Path]]&amp;CHAR(34)&amp;","</f>
        <v>"S01E06": "/home/ziga/share/Series/Other/0 Home and Gardening/Grand Designs/Season 01/Grand Designs - S01E06 - Cornwall - The Chapel.avi",</v>
      </c>
      <c r="K8" s="2" t="str">
        <f>IF(Combined[[#This Row],[Is name same]],Combined[[#This Row],[Episode number from TVMaze]],IF(Combined[[#This Row],[NFO created]]="No need",Combined[[#This Row],[Episode number from TVMaze]],""))</f>
        <v>S01E06</v>
      </c>
      <c r="L8" s="2" t="str">
        <f>CHAR(34)&amp;Combined[[#This Row],[Episode number from TVMaze]]&amp;CHAR(34)&amp;": "&amp;CHAR(34)&amp;Combined[[#This Row],[Correct TVDB episode number for getting image url]]&amp;CHAR(34)&amp;","</f>
        <v>"S01E06": "S01E06",</v>
      </c>
      <c r="M8" s="2" t="b">
        <f>Combined[[#This Row],[Correct TVDB episode number for getting image url]]=Combined[[#This Row],[Episode number from TVMaze]]</f>
        <v>1</v>
      </c>
      <c r="N8" s="2" t="str">
        <f>IF(Combined[[#This Row],[Have file]],IF(LEN(Combined[[#This Row],[Correct TVDB episode number for getting image url]])=0,"Find correct episode number for TheTVDB",""),"Find episode on the internet")</f>
        <v/>
      </c>
    </row>
    <row r="9" spans="1:14" x14ac:dyDescent="0.25">
      <c r="A9" t="str">
        <f>TVMaze[[#This Row],[Episode number]]</f>
        <v>S01E07</v>
      </c>
      <c r="B9" t="b">
        <f>IF(ISNUMBER(MATCH(Combined[Episode number from TVMaze],Files[Episode number],0)),TRUE,FALSE)</f>
        <v>1</v>
      </c>
      <c r="C9" t="str">
        <f>TVMaze[[#This Row],[Name]]</f>
        <v>Islington: The House of Straw</v>
      </c>
      <c r="D9" t="str">
        <f>VLOOKUP(Combined[[#This Row],[Episode number from TVMaze]],TVDB[],2,FALSE)</f>
        <v>Islington: The House of Straw</v>
      </c>
      <c r="E9" s="2" t="b">
        <f>_xlfn.IFNA(Combined[[#This Row],[Name from TVMaze]]=Combined[[#This Row],[Name from TVDB]],FALSE)</f>
        <v>1</v>
      </c>
      <c r="F9" s="2"/>
      <c r="G9" s="3">
        <f>VLOOKUP(Combined[[#This Row],[Episode number from TVMaze]],TVMazePython[],3,FALSE)</f>
        <v>36328</v>
      </c>
      <c r="H9" s="2" t="str">
        <f>VLOOKUP(Combined[[#This Row],[Episode number from TVMaze]],TVMazePython[],4,FALSE)</f>
        <v>In Islington, Jeremy Till and Sarah Wigglesworth are building a house of sandbags and straw. Episode Revisited 13 March 2001.</v>
      </c>
      <c r="I9" s="2" t="str">
        <f>VLOOKUP(Combined[[#This Row],[Episode number from TVMaze]],Files[],3,FALSE)</f>
        <v>/home/ziga/share/Series/Other/0 Home and Gardening/Grand Designs/Season 01/Grand Designs - S01E07 - Islington - The House of Straw.avi</v>
      </c>
      <c r="J9" s="2" t="str">
        <f>CHAR(34)&amp;Combined[[#This Row],[Episode number from TVMaze]]&amp;CHAR(34)&amp;": "&amp;CHAR(34)&amp;Combined[[#This Row],[Path]]&amp;CHAR(34)&amp;","</f>
        <v>"S01E07": "/home/ziga/share/Series/Other/0 Home and Gardening/Grand Designs/Season 01/Grand Designs - S01E07 - Islington - The House of Straw.avi",</v>
      </c>
      <c r="K9" s="2" t="str">
        <f>IF(Combined[[#This Row],[Is name same]],Combined[[#This Row],[Episode number from TVMaze]],IF(Combined[[#This Row],[NFO created]]="No need",Combined[[#This Row],[Episode number from TVMaze]],""))</f>
        <v>S01E07</v>
      </c>
      <c r="L9" s="2" t="str">
        <f>CHAR(34)&amp;Combined[[#This Row],[Episode number from TVMaze]]&amp;CHAR(34)&amp;": "&amp;CHAR(34)&amp;Combined[[#This Row],[Correct TVDB episode number for getting image url]]&amp;CHAR(34)&amp;","</f>
        <v>"S01E07": "S01E07",</v>
      </c>
      <c r="M9" s="2" t="b">
        <f>Combined[[#This Row],[Correct TVDB episode number for getting image url]]=Combined[[#This Row],[Episode number from TVMaze]]</f>
        <v>1</v>
      </c>
      <c r="N9" s="2" t="str">
        <f>IF(Combined[[#This Row],[Have file]],IF(LEN(Combined[[#This Row],[Correct TVDB episode number for getting image url]])=0,"Find correct episode number for TheTVDB",""),"Find episode on the internet")</f>
        <v/>
      </c>
    </row>
    <row r="10" spans="1:14" x14ac:dyDescent="0.25">
      <c r="A10" t="str">
        <f>TVMaze[[#This Row],[Episode number]]</f>
        <v>S01E08</v>
      </c>
      <c r="B10" t="b">
        <f>IF(ISNUMBER(MATCH(Combined[Episode number from TVMaze],Files[Episode number],0)),TRUE,FALSE)</f>
        <v>1</v>
      </c>
      <c r="C10" t="str">
        <f>TVMaze[[#This Row],[Name]]</f>
        <v>Doncaster: The Glass House</v>
      </c>
      <c r="D10" t="str">
        <f>VLOOKUP(Combined[[#This Row],[Episode number from TVMaze]],TVDB[],2,FALSE)</f>
        <v>Doncaster: The Glass House</v>
      </c>
      <c r="E10" s="2" t="b">
        <f>_xlfn.IFNA(Combined[[#This Row],[Name from TVMaze]]=Combined[[#This Row],[Name from TVDB]],FALSE)</f>
        <v>1</v>
      </c>
      <c r="F10" s="2"/>
      <c r="G10" s="3">
        <f>VLOOKUP(Combined[[#This Row],[Episode number from TVMaze]],TVMazePython[],3,FALSE)</f>
        <v>36335</v>
      </c>
      <c r="H10" s="2" t="str">
        <f>VLOOKUP(Combined[[#This Row],[Episode number from TVMaze]],TVMazePython[],4,FALSE)</f>
        <v>Michael Hird and Lindsay Harwood build a glass and steel home in Doncaster. Episode Revisited 8 November 2001.</v>
      </c>
      <c r="I10" s="2" t="str">
        <f>VLOOKUP(Combined[[#This Row],[Episode number from TVMaze]],Files[],3,FALSE)</f>
        <v>/home/ziga/share/Series/Other/0 Home and Gardening/Grand Designs/Season 01/Grand Designs - S01E08 - Doncaster - The Glass House.avi</v>
      </c>
      <c r="J10" s="2" t="str">
        <f>CHAR(34)&amp;Combined[[#This Row],[Episode number from TVMaze]]&amp;CHAR(34)&amp;": "&amp;CHAR(34)&amp;Combined[[#This Row],[Path]]&amp;CHAR(34)&amp;","</f>
        <v>"S01E08": "/home/ziga/share/Series/Other/0 Home and Gardening/Grand Designs/Season 01/Grand Designs - S01E08 - Doncaster - The Glass House.avi",</v>
      </c>
      <c r="K10" s="2" t="str">
        <f>IF(Combined[[#This Row],[Is name same]],Combined[[#This Row],[Episode number from TVMaze]],IF(Combined[[#This Row],[NFO created]]="No need",Combined[[#This Row],[Episode number from TVMaze]],""))</f>
        <v>S01E08</v>
      </c>
      <c r="L10" s="2" t="str">
        <f>CHAR(34)&amp;Combined[[#This Row],[Episode number from TVMaze]]&amp;CHAR(34)&amp;": "&amp;CHAR(34)&amp;Combined[[#This Row],[Correct TVDB episode number for getting image url]]&amp;CHAR(34)&amp;","</f>
        <v>"S01E08": "S01E08",</v>
      </c>
      <c r="M10" s="2" t="b">
        <f>Combined[[#This Row],[Correct TVDB episode number for getting image url]]=Combined[[#This Row],[Episode number from TVMaze]]</f>
        <v>1</v>
      </c>
      <c r="N10" s="2" t="str">
        <f>IF(Combined[[#This Row],[Have file]],IF(LEN(Combined[[#This Row],[Correct TVDB episode number for getting image url]])=0,"Find correct episode number for TheTVDB",""),"Find episode on the internet")</f>
        <v/>
      </c>
    </row>
    <row r="11" spans="1:14" x14ac:dyDescent="0.25">
      <c r="A11" t="str">
        <f>TVMaze[[#This Row],[Episode number]]</f>
        <v>S02E01</v>
      </c>
      <c r="B11" t="b">
        <f>IF(ISNUMBER(MATCH(Combined[Episode number from TVMaze],Files[Episode number],0)),TRUE,FALSE)</f>
        <v>1</v>
      </c>
      <c r="C11" t="str">
        <f>TVMaze[[#This Row],[Name]]</f>
        <v>Farnham: The Regency Villa</v>
      </c>
      <c r="D11" t="str">
        <f>VLOOKUP(Combined[[#This Row],[Episode number from TVMaze]],TVDB[],2,FALSE)</f>
        <v>Farnham: The Regency Villa</v>
      </c>
      <c r="E11" s="2" t="b">
        <f>_xlfn.IFNA(Combined[[#This Row],[Name from TVMaze]]=Combined[[#This Row],[Name from TVDB]],FALSE)</f>
        <v>1</v>
      </c>
      <c r="F11" s="2"/>
      <c r="G11" s="3">
        <f>VLOOKUP(Combined[[#This Row],[Episode number from TVMaze]],TVMazePython[],3,FALSE)</f>
        <v>37089</v>
      </c>
      <c r="H11" s="2" t="str">
        <f>VLOOKUP(Combined[[#This Row],[Episode number from TVMaze]],TVMazePython[],4,FALSE)</f>
        <v>Kevin McCloud meets a woman determined to build the house of her dreams, an enormous Georgian-style mansion. Helen Saunders and her husband Mark Eisenstadt finally found the perfect plot of land in Farnham, and have spent years planning every aspect of their new home. Having undergone extensive preparation, they don't foresee too many problems, but once the build gets underway their dream soon turns into a nightmare.</v>
      </c>
      <c r="I11" s="2" t="str">
        <f>VLOOKUP(Combined[[#This Row],[Episode number from TVMaze]],Files[],3,FALSE)</f>
        <v>/home/ziga/share/Series/Other/0 Home and Gardening/Grand Designs/Season 02/Grand Designs - S02E01 - Farnham - The Regency Villa.avi</v>
      </c>
      <c r="J11" s="2" t="str">
        <f>CHAR(34)&amp;Combined[[#This Row],[Episode number from TVMaze]]&amp;CHAR(34)&amp;": "&amp;CHAR(34)&amp;Combined[[#This Row],[Path]]&amp;CHAR(34)&amp;","</f>
        <v>"S02E01": "/home/ziga/share/Series/Other/0 Home and Gardening/Grand Designs/Season 02/Grand Designs - S02E01 - Farnham - The Regency Villa.avi",</v>
      </c>
      <c r="K11" s="2" t="str">
        <f>IF(Combined[[#This Row],[Is name same]],Combined[[#This Row],[Episode number from TVMaze]],IF(Combined[[#This Row],[NFO created]]="No need",Combined[[#This Row],[Episode number from TVMaze]],""))</f>
        <v>S02E01</v>
      </c>
      <c r="L11" s="2" t="str">
        <f>CHAR(34)&amp;Combined[[#This Row],[Episode number from TVMaze]]&amp;CHAR(34)&amp;": "&amp;CHAR(34)&amp;Combined[[#This Row],[Correct TVDB episode number for getting image url]]&amp;CHAR(34)&amp;","</f>
        <v>"S02E01": "S02E01",</v>
      </c>
      <c r="M11" s="2" t="b">
        <f>Combined[[#This Row],[Correct TVDB episode number for getting image url]]=Combined[[#This Row],[Episode number from TVMaze]]</f>
        <v>1</v>
      </c>
      <c r="N11" s="2" t="str">
        <f>IF(Combined[[#This Row],[Have file]],IF(LEN(Combined[[#This Row],[Correct TVDB episode number for getting image url]])=0,"Find correct episode number for TheTVDB",""),"Find episode on the internet")</f>
        <v/>
      </c>
    </row>
    <row r="12" spans="1:14" x14ac:dyDescent="0.25">
      <c r="A12" t="str">
        <f>TVMaze[[#This Row],[Episode number]]</f>
        <v>S02E02</v>
      </c>
      <c r="B12" t="b">
        <f>IF(ISNUMBER(MATCH(Combined[Episode number from TVMaze],Files[Episode number],0)),TRUE,FALSE)</f>
        <v>1</v>
      </c>
      <c r="C12" t="str">
        <f>TVMaze[[#This Row],[Name]]</f>
        <v>Sussex: The New England Gable House</v>
      </c>
      <c r="D12" t="str">
        <f>VLOOKUP(Combined[[#This Row],[Episode number from TVMaze]],TVDB[],2,FALSE)</f>
        <v>Sussex: The New England House</v>
      </c>
      <c r="E12" s="2" t="b">
        <f>_xlfn.IFNA(Combined[[#This Row],[Name from TVMaze]]=Combined[[#This Row],[Name from TVDB]],FALSE)</f>
        <v>0</v>
      </c>
      <c r="F12" s="2" t="s">
        <v>1316</v>
      </c>
      <c r="G12" s="3">
        <f>VLOOKUP(Combined[[#This Row],[Episode number from TVMaze]],TVMazePython[],3,FALSE)</f>
        <v>37096</v>
      </c>
      <c r="H12" s="2" t="str">
        <f>VLOOKUP(Combined[[#This Row],[Episode number from TVMaze]],TVMazePython[],4,FALSE)</f>
        <v>Kevin McCloud visits the Sussex Downs to follow the construction of a New England-style kit house bought and designed entirely on the internet. Self-builder Jane Warren loves the New England style, and when she discovered that she could replicate it in the UK by buying an entire kit house, she just had to have one. Will Jane realise her dream of celebrating her first anniversary with her new husband Willem Mulder, in her new home or will her New England kit house become a living hell?</v>
      </c>
      <c r="I12" s="2" t="str">
        <f>VLOOKUP(Combined[[#This Row],[Episode number from TVMaze]],Files[],3,FALSE)</f>
        <v>/home/ziga/share/Series/Other/0 Home and Gardening/Grand Designs/Season 02/Grand Designs - S02E02 - Sussex - The New England Gable House.avi</v>
      </c>
      <c r="J12" s="2" t="str">
        <f>CHAR(34)&amp;Combined[[#This Row],[Episode number from TVMaze]]&amp;CHAR(34)&amp;": "&amp;CHAR(34)&amp;Combined[[#This Row],[Path]]&amp;CHAR(34)&amp;","</f>
        <v>"S02E02": "/home/ziga/share/Series/Other/0 Home and Gardening/Grand Designs/Season 02/Grand Designs - S02E02 - Sussex - The New England Gable House.avi",</v>
      </c>
      <c r="K12" s="2" t="str">
        <f>IF(Combined[[#This Row],[Is name same]],Combined[[#This Row],[Episode number from TVMaze]],IF(Combined[[#This Row],[NFO created]]="No need",Combined[[#This Row],[Episode number from TVMaze]],""))</f>
        <v>S02E02</v>
      </c>
      <c r="L12" s="2" t="str">
        <f>CHAR(34)&amp;Combined[[#This Row],[Episode number from TVMaze]]&amp;CHAR(34)&amp;": "&amp;CHAR(34)&amp;Combined[[#This Row],[Correct TVDB episode number for getting image url]]&amp;CHAR(34)&amp;","</f>
        <v>"S02E02": "S02E02",</v>
      </c>
      <c r="M12" s="2" t="b">
        <f>Combined[[#This Row],[Correct TVDB episode number for getting image url]]=Combined[[#This Row],[Episode number from TVMaze]]</f>
        <v>1</v>
      </c>
      <c r="N12" s="2" t="str">
        <f>IF(Combined[[#This Row],[Have file]],IF(LEN(Combined[[#This Row],[Correct TVDB episode number for getting image url]])=0,"Find correct episode number for TheTVDB",""),"Find episode on the internet")</f>
        <v/>
      </c>
    </row>
    <row r="13" spans="1:14" x14ac:dyDescent="0.25">
      <c r="A13" t="str">
        <f>TVMaze[[#This Row],[Episode number]]</f>
        <v>S02E03</v>
      </c>
      <c r="B13" t="b">
        <f>IF(ISNUMBER(MATCH(Combined[Episode number from TVMaze],Files[Episode number],0)),TRUE,FALSE)</f>
        <v>1</v>
      </c>
      <c r="C13" t="str">
        <f>TVMaze[[#This Row],[Name]]</f>
        <v>Netherton: The Wool Mill</v>
      </c>
      <c r="D13" t="str">
        <f>VLOOKUP(Combined[[#This Row],[Episode number from TVMaze]],TVDB[],2,FALSE)</f>
        <v>Huddersfield: The Wool Mill</v>
      </c>
      <c r="E13" s="2" t="b">
        <f>_xlfn.IFNA(Combined[[#This Row],[Name from TVMaze]]=Combined[[#This Row],[Name from TVDB]],FALSE)</f>
        <v>0</v>
      </c>
      <c r="F13" s="2" t="s">
        <v>1316</v>
      </c>
      <c r="G13" s="3">
        <f>VLOOKUP(Combined[[#This Row],[Episode number from TVMaze]],TVMazePython[],3,FALSE)</f>
        <v>37103</v>
      </c>
      <c r="H13" s="2" t="str">
        <f>VLOOKUP(Combined[[#This Row],[Episode number from TVMaze]],TVMazePython[],4,FALSE)</f>
        <v>Kevin McCloud meets Chris and Jill Heleine, who have chosen to build their dream home in Huddersfield. Some time ago they bought a deserted textile mill, which they dream of giving a light, modern interior. The build has been organised like a military operation, their filing system has left nothing to chance and Chris will even be doing some of the work himself. But will their dream home turn out exactly as they expected?</v>
      </c>
      <c r="I13" s="2" t="str">
        <f>VLOOKUP(Combined[[#This Row],[Episode number from TVMaze]],Files[],3,FALSE)</f>
        <v>/home/ziga/share/Series/Other/0 Home and Gardening/Grand Designs/Season 02/Grand Designs - S02E03 - Netherton - The Wool Mill.avi</v>
      </c>
      <c r="J13" s="2" t="str">
        <f>CHAR(34)&amp;Combined[[#This Row],[Episode number from TVMaze]]&amp;CHAR(34)&amp;": "&amp;CHAR(34)&amp;Combined[[#This Row],[Path]]&amp;CHAR(34)&amp;","</f>
        <v>"S02E03": "/home/ziga/share/Series/Other/0 Home and Gardening/Grand Designs/Season 02/Grand Designs - S02E03 - Netherton - The Wool Mill.avi",</v>
      </c>
      <c r="K13" s="2" t="str">
        <f>IF(Combined[[#This Row],[Is name same]],Combined[[#This Row],[Episode number from TVMaze]],IF(Combined[[#This Row],[NFO created]]="No need",Combined[[#This Row],[Episode number from TVMaze]],""))</f>
        <v>S02E03</v>
      </c>
      <c r="L13" s="2" t="str">
        <f>CHAR(34)&amp;Combined[[#This Row],[Episode number from TVMaze]]&amp;CHAR(34)&amp;": "&amp;CHAR(34)&amp;Combined[[#This Row],[Correct TVDB episode number for getting image url]]&amp;CHAR(34)&amp;","</f>
        <v>"S02E03": "S02E03",</v>
      </c>
      <c r="M13" s="2" t="b">
        <f>Combined[[#This Row],[Correct TVDB episode number for getting image url]]=Combined[[#This Row],[Episode number from TVMaze]]</f>
        <v>1</v>
      </c>
      <c r="N13" s="2" t="str">
        <f>IF(Combined[[#This Row],[Have file]],IF(LEN(Combined[[#This Row],[Correct TVDB episode number for getting image url]])=0,"Find correct episode number for TheTVDB",""),"Find episode on the internet")</f>
        <v/>
      </c>
    </row>
    <row r="14" spans="1:14" x14ac:dyDescent="0.25">
      <c r="A14" t="str">
        <f>TVMaze[[#This Row],[Episode number]]</f>
        <v>S02E04</v>
      </c>
      <c r="B14" t="b">
        <f>IF(ISNUMBER(MATCH(Combined[Episode number from TVMaze],Files[Episode number],0)),TRUE,FALSE)</f>
        <v>1</v>
      </c>
      <c r="C14" t="str">
        <f>TVMaze[[#This Row],[Name]]</f>
        <v>Brecon Beacons: The Isolated Cottage</v>
      </c>
      <c r="D14" t="str">
        <f>VLOOKUP(Combined[[#This Row],[Episode number from TVMaze]],TVDB[],2,FALSE)</f>
        <v>Wales: The Isolated Cottage</v>
      </c>
      <c r="E14" s="2" t="b">
        <f>_xlfn.IFNA(Combined[[#This Row],[Name from TVMaze]]=Combined[[#This Row],[Name from TVDB]],FALSE)</f>
        <v>0</v>
      </c>
      <c r="F14" s="2" t="s">
        <v>1316</v>
      </c>
      <c r="G14" s="3">
        <f>VLOOKUP(Combined[[#This Row],[Episode number from TVMaze]],TVMazePython[],3,FALSE)</f>
        <v>37110</v>
      </c>
      <c r="H14" s="2" t="str">
        <f>VLOOKUP(Combined[[#This Row],[Episode number from TVMaze]],TVMazePython[],4,FALSE)</f>
        <v>Kevin McCloud travels to Wales to visit Adrian and Corrina, who have decided that their first home will be a 300-year-old ruin. The cottage is set in the Brecon Beacons National Park, Corrina and Adrian have a very small budget and an enormous amount of work to do to return the ruin to its former glory but they are eager and seemingly undaunted by the scale of the project. But how will they cope when the elements suddenly turn on them?</v>
      </c>
      <c r="I14" s="2" t="str">
        <f>VLOOKUP(Combined[[#This Row],[Episode number from TVMaze]],Files[],3,FALSE)</f>
        <v>/home/ziga/share/Series/Other/0 Home and Gardening/Grand Designs/Season 02/Grand Designs - S02E04 - Brecon Beacons - The Isolated Cottage.avi</v>
      </c>
      <c r="J14" s="2" t="str">
        <f>CHAR(34)&amp;Combined[[#This Row],[Episode number from TVMaze]]&amp;CHAR(34)&amp;": "&amp;CHAR(34)&amp;Combined[[#This Row],[Path]]&amp;CHAR(34)&amp;","</f>
        <v>"S02E04": "/home/ziga/share/Series/Other/0 Home and Gardening/Grand Designs/Season 02/Grand Designs - S02E04 - Brecon Beacons - The Isolated Cottage.avi",</v>
      </c>
      <c r="K14" s="2" t="str">
        <f>IF(Combined[[#This Row],[Is name same]],Combined[[#This Row],[Episode number from TVMaze]],IF(Combined[[#This Row],[NFO created]]="No need",Combined[[#This Row],[Episode number from TVMaze]],""))</f>
        <v>S02E04</v>
      </c>
      <c r="L14" s="2" t="str">
        <f>CHAR(34)&amp;Combined[[#This Row],[Episode number from TVMaze]]&amp;CHAR(34)&amp;": "&amp;CHAR(34)&amp;Combined[[#This Row],[Correct TVDB episode number for getting image url]]&amp;CHAR(34)&amp;","</f>
        <v>"S02E04": "S02E04",</v>
      </c>
      <c r="M14" s="2" t="b">
        <f>Combined[[#This Row],[Correct TVDB episode number for getting image url]]=Combined[[#This Row],[Episode number from TVMaze]]</f>
        <v>1</v>
      </c>
      <c r="N14" s="2" t="str">
        <f>IF(Combined[[#This Row],[Have file]],IF(LEN(Combined[[#This Row],[Correct TVDB episode number for getting image url]])=0,"Find correct episode number for TheTVDB",""),"Find episode on the internet")</f>
        <v/>
      </c>
    </row>
    <row r="15" spans="1:14" x14ac:dyDescent="0.25">
      <c r="A15" t="str">
        <f>TVMaze[[#This Row],[Episode number]]</f>
        <v>S02E05</v>
      </c>
      <c r="B15" t="b">
        <f>IF(ISNUMBER(MATCH(Combined[Episode number from TVMaze],Files[Episode number],0)),TRUE,FALSE)</f>
        <v>1</v>
      </c>
      <c r="C15" t="str">
        <f>TVMaze[[#This Row],[Name]]</f>
        <v>Lambourn Valley: The Cruciform House</v>
      </c>
      <c r="D15" t="str">
        <f>VLOOKUP(Combined[[#This Row],[Episode number from TVMaze]],TVDB[],2,FALSE)</f>
        <v>Lambourn: The Cruciform House</v>
      </c>
      <c r="E15" s="2" t="b">
        <f>_xlfn.IFNA(Combined[[#This Row],[Name from TVMaze]]=Combined[[#This Row],[Name from TVDB]],FALSE)</f>
        <v>0</v>
      </c>
      <c r="F15" s="2" t="s">
        <v>1316</v>
      </c>
      <c r="G15" s="3">
        <f>VLOOKUP(Combined[[#This Row],[Episode number from TVMaze]],TVMazePython[],3,FALSE)</f>
        <v>37117</v>
      </c>
      <c r="H15" s="2" t="str">
        <f>VLOOKUP(Combined[[#This Row],[Episode number from TVMaze]],TVMazePython[],4,FALSE)</f>
        <v>Kevin McCloud meets Rupert and Julie Upton, who are building a very experimental idea in the Lambourn Valley. Their dream is to create an amazing cross-shaped house made of oak and glass, strikingly modern with the most superb views. But each piece of wood has to be custom made and the design itself is incredibly complex. Few people would have the courage to take on such an experimental build – will Rupert and Julie's bravery pay off?</v>
      </c>
      <c r="I15" s="2" t="str">
        <f>VLOOKUP(Combined[[#This Row],[Episode number from TVMaze]],Files[],3,FALSE)</f>
        <v>/home/ziga/share/Series/Other/0 Home and Gardening/Grand Designs/Season 02/Grand Designs - S02E05 - Lambourn Valley - The Cruciform House.avi</v>
      </c>
      <c r="J15" s="2" t="str">
        <f>CHAR(34)&amp;Combined[[#This Row],[Episode number from TVMaze]]&amp;CHAR(34)&amp;": "&amp;CHAR(34)&amp;Combined[[#This Row],[Path]]&amp;CHAR(34)&amp;","</f>
        <v>"S02E05": "/home/ziga/share/Series/Other/0 Home and Gardening/Grand Designs/Season 02/Grand Designs - S02E05 - Lambourn Valley - The Cruciform House.avi",</v>
      </c>
      <c r="K15" s="2" t="str">
        <f>IF(Combined[[#This Row],[Is name same]],Combined[[#This Row],[Episode number from TVMaze]],IF(Combined[[#This Row],[NFO created]]="No need",Combined[[#This Row],[Episode number from TVMaze]],""))</f>
        <v>S02E05</v>
      </c>
      <c r="L15" s="2" t="str">
        <f>CHAR(34)&amp;Combined[[#This Row],[Episode number from TVMaze]]&amp;CHAR(34)&amp;": "&amp;CHAR(34)&amp;Combined[[#This Row],[Correct TVDB episode number for getting image url]]&amp;CHAR(34)&amp;","</f>
        <v>"S02E05": "S02E05",</v>
      </c>
      <c r="M15" s="2" t="b">
        <f>Combined[[#This Row],[Correct TVDB episode number for getting image url]]=Combined[[#This Row],[Episode number from TVMaze]]</f>
        <v>1</v>
      </c>
      <c r="N15" s="2" t="str">
        <f>IF(Combined[[#This Row],[Have file]],IF(LEN(Combined[[#This Row],[Correct TVDB episode number for getting image url]])=0,"Find correct episode number for TheTVDB",""),"Find episode on the internet")</f>
        <v/>
      </c>
    </row>
    <row r="16" spans="1:14" x14ac:dyDescent="0.25">
      <c r="A16" t="str">
        <f>TVMaze[[#This Row],[Episode number]]</f>
        <v>S02E06</v>
      </c>
      <c r="B16" t="b">
        <f>IF(ISNUMBER(MATCH(Combined[Episode number from TVMaze],Files[Episode number],0)),TRUE,FALSE)</f>
        <v>1</v>
      </c>
      <c r="C16" t="str">
        <f>TVMaze[[#This Row],[Name]]</f>
        <v>Birmingham: The Self-Build</v>
      </c>
      <c r="D16" t="str">
        <f>VLOOKUP(Combined[[#This Row],[Episode number from TVMaze]],TVDB[],2,FALSE)</f>
        <v>Birmingham: The Community Self-Build</v>
      </c>
      <c r="E16" s="2" t="b">
        <f>_xlfn.IFNA(Combined[[#This Row],[Name from TVMaze]]=Combined[[#This Row],[Name from TVDB]],FALSE)</f>
        <v>0</v>
      </c>
      <c r="F16" s="2" t="s">
        <v>1316</v>
      </c>
      <c r="G16" s="3">
        <f>VLOOKUP(Combined[[#This Row],[Episode number from TVMaze]],TVMazePython[],3,FALSE)</f>
        <v>37124</v>
      </c>
      <c r="H16" s="2" t="str">
        <f>VLOOKUP(Combined[[#This Row],[Episode number from TVMaze]],TVMazePython[],4,FALSE)</f>
        <v>Kevin McCloud checks out a housing scheme in Birmingham. It's near impossible for many people, particularly those on a low income, to buy their own home. However, a Birmingham Housing Association along with Angela and Peter has set up a scheme that allows people to build one instead. The group of 11 men and women will build, not just their own property, but each other's homes as well. None of these budding self-builders have previous experience in the trade and have undergone extensive training to teach them the ropes.</v>
      </c>
      <c r="I16" s="2" t="str">
        <f>VLOOKUP(Combined[[#This Row],[Episode number from TVMaze]],Files[],3,FALSE)</f>
        <v>/home/ziga/share/Series/Other/0 Home and Gardening/Grand Designs/Season 02/Grand Designs - S02E06 - Birmingham - The Self-Build.avi</v>
      </c>
      <c r="J16" s="2" t="str">
        <f>CHAR(34)&amp;Combined[[#This Row],[Episode number from TVMaze]]&amp;CHAR(34)&amp;": "&amp;CHAR(34)&amp;Combined[[#This Row],[Path]]&amp;CHAR(34)&amp;","</f>
        <v>"S02E06": "/home/ziga/share/Series/Other/0 Home and Gardening/Grand Designs/Season 02/Grand Designs - S02E06 - Birmingham - The Self-Build.avi",</v>
      </c>
      <c r="K16" s="2" t="str">
        <f>IF(Combined[[#This Row],[Is name same]],Combined[[#This Row],[Episode number from TVMaze]],IF(Combined[[#This Row],[NFO created]]="No need",Combined[[#This Row],[Episode number from TVMaze]],""))</f>
        <v>S02E06</v>
      </c>
      <c r="L16" s="2" t="str">
        <f>CHAR(34)&amp;Combined[[#This Row],[Episode number from TVMaze]]&amp;CHAR(34)&amp;": "&amp;CHAR(34)&amp;Combined[[#This Row],[Correct TVDB episode number for getting image url]]&amp;CHAR(34)&amp;","</f>
        <v>"S02E06": "S02E06",</v>
      </c>
      <c r="M16" s="2" t="b">
        <f>Combined[[#This Row],[Correct TVDB episode number for getting image url]]=Combined[[#This Row],[Episode number from TVMaze]]</f>
        <v>1</v>
      </c>
      <c r="N16" s="2" t="str">
        <f>IF(Combined[[#This Row],[Have file]],IF(LEN(Combined[[#This Row],[Correct TVDB episode number for getting image url]])=0,"Find correct episode number for TheTVDB",""),"Find episode on the internet")</f>
        <v/>
      </c>
    </row>
    <row r="17" spans="1:14" x14ac:dyDescent="0.25">
      <c r="A17" t="str">
        <f>TVMaze[[#This Row],[Episode number]]</f>
        <v>S02E07</v>
      </c>
      <c r="B17" t="b">
        <f>IF(ISNUMBER(MATCH(Combined[Episode number from TVMaze],Files[Episode number],0)),TRUE,FALSE)</f>
        <v>1</v>
      </c>
      <c r="C17" t="str">
        <f>TVMaze[[#This Row],[Name]]</f>
        <v>London: The Jewel Box</v>
      </c>
      <c r="D17" t="str">
        <f>VLOOKUP(Combined[[#This Row],[Episode number from TVMaze]],TVDB[],2,FALSE)</f>
        <v>London: The Jewel Box</v>
      </c>
      <c r="E17" s="2" t="b">
        <f>_xlfn.IFNA(Combined[[#This Row],[Name from TVMaze]]=Combined[[#This Row],[Name from TVDB]],FALSE)</f>
        <v>1</v>
      </c>
      <c r="F17" s="2"/>
      <c r="G17" s="3">
        <f>VLOOKUP(Combined[[#This Row],[Episode number from TVMaze]],TVMazePython[],3,FALSE)</f>
        <v>37131</v>
      </c>
      <c r="H17" s="2" t="str">
        <f>VLOOKUP(Combined[[#This Row],[Episode number from TVMaze]],TVMazePython[],4,FALSE)</f>
        <v>Kevin McCloud visits a couple who are looking to build their hi-tech modern house in a quiet north London street. Sarah Jordan and Coneyl Jay have long dreamt of the perfect work and living space. Unable to find what they were looking for they decided to build their own. However the site they have found is situated in a predominantly Edwardian street. While they wait to see if the council approve their plans, they employ architect Mike Tonkin to realise their vision but can their ambitious project ever become reality?</v>
      </c>
      <c r="I17" s="2" t="str">
        <f>VLOOKUP(Combined[[#This Row],[Episode number from TVMaze]],Files[],3,FALSE)</f>
        <v>/home/ziga/share/Series/Other/0 Home and Gardening/Grand Designs/Season 02/Grand Designs - S02E07 - London - The Jewel Box.avi</v>
      </c>
      <c r="J17" s="2" t="str">
        <f>CHAR(34)&amp;Combined[[#This Row],[Episode number from TVMaze]]&amp;CHAR(34)&amp;": "&amp;CHAR(34)&amp;Combined[[#This Row],[Path]]&amp;CHAR(34)&amp;","</f>
        <v>"S02E07": "/home/ziga/share/Series/Other/0 Home and Gardening/Grand Designs/Season 02/Grand Designs - S02E07 - London - The Jewel Box.avi",</v>
      </c>
      <c r="K17" s="2" t="str">
        <f>IF(Combined[[#This Row],[Is name same]],Combined[[#This Row],[Episode number from TVMaze]],IF(Combined[[#This Row],[NFO created]]="No need",Combined[[#This Row],[Episode number from TVMaze]],""))</f>
        <v>S02E07</v>
      </c>
      <c r="L17" s="2" t="str">
        <f>CHAR(34)&amp;Combined[[#This Row],[Episode number from TVMaze]]&amp;CHAR(34)&amp;": "&amp;CHAR(34)&amp;Combined[[#This Row],[Correct TVDB episode number for getting image url]]&amp;CHAR(34)&amp;","</f>
        <v>"S02E07": "S02E07",</v>
      </c>
      <c r="M17" s="2" t="b">
        <f>Combined[[#This Row],[Correct TVDB episode number for getting image url]]=Combined[[#This Row],[Episode number from TVMaze]]</f>
        <v>1</v>
      </c>
      <c r="N17" s="2" t="str">
        <f>IF(Combined[[#This Row],[Have file]],IF(LEN(Combined[[#This Row],[Correct TVDB episode number for getting image url]])=0,"Find correct episode number for TheTVDB",""),"Find episode on the internet")</f>
        <v/>
      </c>
    </row>
    <row r="18" spans="1:14" x14ac:dyDescent="0.25">
      <c r="A18" t="str">
        <f>TVMaze[[#This Row],[Episode number]]</f>
        <v>S02E08</v>
      </c>
      <c r="B18" t="b">
        <f>IF(ISNUMBER(MATCH(Combined[Episode number from TVMaze],Files[Episode number],0)),TRUE,FALSE)</f>
        <v>1</v>
      </c>
      <c r="C18" t="str">
        <f>TVMaze[[#This Row],[Name]]</f>
        <v>Devon: The Derelict Barns</v>
      </c>
      <c r="D18" t="str">
        <f>VLOOKUP(Combined[[#This Row],[Episode number from TVMaze]],TVDB[],2,FALSE)</f>
        <v>Devon: The Derelict Barns</v>
      </c>
      <c r="E18" s="2" t="b">
        <f>_xlfn.IFNA(Combined[[#This Row],[Name from TVMaze]]=Combined[[#This Row],[Name from TVDB]],FALSE)</f>
        <v>1</v>
      </c>
      <c r="F18" s="2"/>
      <c r="G18" s="3">
        <f>VLOOKUP(Combined[[#This Row],[Episode number from TVMaze]],TVMazePython[],3,FALSE)</f>
        <v>37138</v>
      </c>
      <c r="H18" s="2" t="str">
        <f>VLOOKUP(Combined[[#This Row],[Episode number from TVMaze]],TVMazePython[],4,FALSE)</f>
        <v>Kevin McCloud travels to south Devon to meet Sue Charman and Martin Whitlock whose dream is to create a family home which feels part of the earth, using old English building techniques. They are not starting from scratch, but rebuilding two ancient run-down barns. Environmental concerns are extremely important to them, but will they manage to realise their vision of rebuilding the barns in same meticulous way they were built originally, whilst incorporating energy efficient, 21st century technology?</v>
      </c>
      <c r="I18" s="2" t="str">
        <f>VLOOKUP(Combined[[#This Row],[Episode number from TVMaze]],Files[],3,FALSE)</f>
        <v>/home/ziga/share/Series/Other/0 Home and Gardening/Grand Designs/Season 02/Grand Designs - S02E08 - Devon - The Derelict Barns.avi</v>
      </c>
      <c r="J18" s="2" t="str">
        <f>CHAR(34)&amp;Combined[[#This Row],[Episode number from TVMaze]]&amp;CHAR(34)&amp;": "&amp;CHAR(34)&amp;Combined[[#This Row],[Path]]&amp;CHAR(34)&amp;","</f>
        <v>"S02E08": "/home/ziga/share/Series/Other/0 Home and Gardening/Grand Designs/Season 02/Grand Designs - S02E08 - Devon - The Derelict Barns.avi",</v>
      </c>
      <c r="K18" s="2" t="str">
        <f>IF(Combined[[#This Row],[Is name same]],Combined[[#This Row],[Episode number from TVMaze]],IF(Combined[[#This Row],[NFO created]]="No need",Combined[[#This Row],[Episode number from TVMaze]],""))</f>
        <v>S02E08</v>
      </c>
      <c r="L18" s="2" t="str">
        <f>CHAR(34)&amp;Combined[[#This Row],[Episode number from TVMaze]]&amp;CHAR(34)&amp;": "&amp;CHAR(34)&amp;Combined[[#This Row],[Correct TVDB episode number for getting image url]]&amp;CHAR(34)&amp;","</f>
        <v>"S02E08": "S02E08",</v>
      </c>
      <c r="M18" s="2" t="b">
        <f>Combined[[#This Row],[Correct TVDB episode number for getting image url]]=Combined[[#This Row],[Episode number from TVMaze]]</f>
        <v>1</v>
      </c>
      <c r="N18" s="2" t="str">
        <f>IF(Combined[[#This Row],[Have file]],IF(LEN(Combined[[#This Row],[Correct TVDB episode number for getting image url]])=0,"Find correct episode number for TheTVDB",""),"Find episode on the internet")</f>
        <v/>
      </c>
    </row>
    <row r="19" spans="1:14" x14ac:dyDescent="0.25">
      <c r="A19" t="str">
        <f>TVMaze[[#This Row],[Episode number]]</f>
        <v>S02E09</v>
      </c>
      <c r="B19" t="b">
        <f>IF(ISNUMBER(MATCH(Combined[Episode number from TVMaze],Files[Episode number],0)),TRUE,FALSE)</f>
        <v>1</v>
      </c>
      <c r="C19" t="str">
        <f>TVMaze[[#This Row],[Name]]</f>
        <v>Revisited - Doncaster: The Glass-House (Revisited from S1 Ep8)</v>
      </c>
      <c r="D19" t="str">
        <f>VLOOKUP(Combined[[#This Row],[Episode number from TVMaze]],TVDB[],2,FALSE)</f>
        <v>Revisited - Birmingham: The Community Self-Build</v>
      </c>
      <c r="E19" s="2" t="b">
        <f>_xlfn.IFNA(Combined[[#This Row],[Name from TVMaze]]=Combined[[#This Row],[Name from TVDB]],FALSE)</f>
        <v>0</v>
      </c>
      <c r="F19" s="2"/>
      <c r="G19" s="3">
        <f>VLOOKUP(Combined[[#This Row],[Episode number from TVMaze]],TVMazePython[],3,FALSE)</f>
        <v>37203</v>
      </c>
      <c r="H19" s="2" t="str">
        <f>VLOOKUP(Combined[[#This Row],[Episode number from TVMaze]],TVMazePython[],4,FALSE)</f>
        <v>Kevin McCloud returns to Doncaster to catch up with Michael Hird and Lindsay Harwood, who set out to build a futuristic glass and steel house on the edge of a conservation area.</v>
      </c>
      <c r="I19" s="2" t="str">
        <f>VLOOKUP(Combined[[#This Row],[Episode number from TVMaze]],Files[],3,FALSE)</f>
        <v>/home/ziga/share/Series/Other/0 Home and Gardening/Grand Designs/Season 02/Grand Designs - S02E09 - Revisited - Doncaster - The Glass-House (Revisited from S1 Ep8).avi</v>
      </c>
      <c r="J19" s="2" t="str">
        <f>CHAR(34)&amp;Combined[[#This Row],[Episode number from TVMaze]]&amp;CHAR(34)&amp;": "&amp;CHAR(34)&amp;Combined[[#This Row],[Path]]&amp;CHAR(34)&amp;","</f>
        <v>"S02E09": "/home/ziga/share/Series/Other/0 Home and Gardening/Grand Designs/Season 02/Grand Designs - S02E09 - Revisited - Doncaster - The Glass-House (Revisited from S1 Ep8).avi",</v>
      </c>
      <c r="K19" s="2" t="s">
        <v>828</v>
      </c>
      <c r="L19" s="2" t="str">
        <f>CHAR(34)&amp;Combined[[#This Row],[Episode number from TVMaze]]&amp;CHAR(34)&amp;": "&amp;CHAR(34)&amp;Combined[[#This Row],[Correct TVDB episode number for getting image url]]&amp;CHAR(34)&amp;","</f>
        <v>"S02E09": "S01E09",</v>
      </c>
      <c r="M19" s="2" t="b">
        <f>Combined[[#This Row],[Correct TVDB episode number for getting image url]]=Combined[[#This Row],[Episode number from TVMaze]]</f>
        <v>0</v>
      </c>
      <c r="N19" s="2" t="str">
        <f>IF(Combined[[#This Row],[Have file]],IF(LEN(Combined[[#This Row],[Correct TVDB episode number for getting image url]])=0,"Find correct episode number for TheTVDB",""),"Find episode on the internet")</f>
        <v/>
      </c>
    </row>
    <row r="20" spans="1:14" x14ac:dyDescent="0.25">
      <c r="A20" t="str">
        <f>TVMaze[[#This Row],[Episode number]]</f>
        <v>S02E10</v>
      </c>
      <c r="B20" t="b">
        <f>IF(ISNUMBER(MATCH(Combined[Episode number from TVMaze],Files[Episode number],0)),TRUE,FALSE)</f>
        <v>1</v>
      </c>
      <c r="C20" t="str">
        <f>TVMaze[[#This Row],[Name]]</f>
        <v>Revisited - Suffolk: The Eco-House (Revisited from S1 Ep5)</v>
      </c>
      <c r="D20" t="str">
        <f>VLOOKUP(Combined[[#This Row],[Episode number from TVMaze]],TVDB[],2,FALSE)</f>
        <v>Revisited - Wales: The Isolated Cottage</v>
      </c>
      <c r="E20" s="2" t="b">
        <f>_xlfn.IFNA(Combined[[#This Row],[Name from TVMaze]]=Combined[[#This Row],[Name from TVDB]],FALSE)</f>
        <v>0</v>
      </c>
      <c r="F20" s="2"/>
      <c r="G20" s="3">
        <f>VLOOKUP(Combined[[#This Row],[Episode number from TVMaze]],TVMazePython[],3,FALSE)</f>
        <v>37210</v>
      </c>
      <c r="H20" s="2" t="str">
        <f>VLOOKUP(Combined[[#This Row],[Episode number from TVMaze]],TVMazePython[],4,FALSE)</f>
        <v>Kevin travels to Suffolk to revisit the build of an environmentally friendly house by Alida Saunders and former tax inspector Rob Roy</v>
      </c>
      <c r="I20" s="2" t="str">
        <f>VLOOKUP(Combined[[#This Row],[Episode number from TVMaze]],Files[],3,FALSE)</f>
        <v>/home/ziga/share/Series/Other/0 Home and Gardening/Grand Designs/Season 02/Grand Designs - S02E10 - Revisited - Suffolk - The Eco-House (Revisited from S1 Ep5).avi</v>
      </c>
      <c r="J20" s="2" t="str">
        <f>CHAR(34)&amp;Combined[[#This Row],[Episode number from TVMaze]]&amp;CHAR(34)&amp;": "&amp;CHAR(34)&amp;Combined[[#This Row],[Path]]&amp;CHAR(34)&amp;","</f>
        <v>"S02E10": "/home/ziga/share/Series/Other/0 Home and Gardening/Grand Designs/Season 02/Grand Designs - S02E10 - Revisited - Suffolk - The Eco-House (Revisited from S1 Ep5).avi",</v>
      </c>
      <c r="K20" s="2" t="s">
        <v>829</v>
      </c>
      <c r="L20" s="2" t="str">
        <f>CHAR(34)&amp;Combined[[#This Row],[Episode number from TVMaze]]&amp;CHAR(34)&amp;": "&amp;CHAR(34)&amp;Combined[[#This Row],[Correct TVDB episode number for getting image url]]&amp;CHAR(34)&amp;","</f>
        <v>"S02E10": "S01E10",</v>
      </c>
      <c r="M20" s="2" t="b">
        <f>Combined[[#This Row],[Correct TVDB episode number for getting image url]]=Combined[[#This Row],[Episode number from TVMaze]]</f>
        <v>0</v>
      </c>
      <c r="N20" s="2" t="str">
        <f>IF(Combined[[#This Row],[Have file]],IF(LEN(Combined[[#This Row],[Correct TVDB episode number for getting image url]])=0,"Find correct episode number for TheTVDB",""),"Find episode on the internet")</f>
        <v/>
      </c>
    </row>
    <row r="21" spans="1:14" x14ac:dyDescent="0.25">
      <c r="A21" t="str">
        <f>TVMaze[[#This Row],[Episode number]]</f>
        <v>S02E11</v>
      </c>
      <c r="B21" t="b">
        <f>IF(ISNUMBER(MATCH(Combined[Episode number from TVMaze],Files[Episode number],0)),TRUE,FALSE)</f>
        <v>1</v>
      </c>
      <c r="C21" t="str">
        <f>TVMaze[[#This Row],[Name]]</f>
        <v>Revisited - Islington: The House of Straw (Revisited from S1 Ep7)</v>
      </c>
      <c r="D21" t="str">
        <f>VLOOKUP(Combined[[#This Row],[Episode number from TVMaze]],TVDB[],2,FALSE)</f>
        <v>Revisited - Devon: The Derelict Barns</v>
      </c>
      <c r="E21" s="2" t="b">
        <f>_xlfn.IFNA(Combined[[#This Row],[Name from TVMaze]]=Combined[[#This Row],[Name from TVDB]],FALSE)</f>
        <v>0</v>
      </c>
      <c r="F21" s="2"/>
      <c r="G21" s="3">
        <f>VLOOKUP(Combined[[#This Row],[Episode number from TVMaze]],TVMazePython[],3,FALSE)</f>
        <v>37217</v>
      </c>
      <c r="H21" s="2" t="str">
        <f>VLOOKUP(Combined[[#This Row],[Episode number from TVMaze]],TVMazePython[],4,FALSE)</f>
        <v>Jeremy Till and Sarah Wigglesworth built their experimental central London house out of straw bales, springs and sandbags. Nearly nine years after its conception, Kevin McCloud returns to the award-winning house to see the finished property and find out if an adjacent railway line is causing a disturbance.</v>
      </c>
      <c r="I21" s="2" t="str">
        <f>VLOOKUP(Combined[[#This Row],[Episode number from TVMaze]],Files[],3,FALSE)</f>
        <v>/home/ziga/share/Series/Other/0 Home and Gardening/Grand Designs/Season 02/Grand Designs - S02E11 - Revisited - Islington - The House of Straw (Revisited from S1 Ep7).avi</v>
      </c>
      <c r="J21" s="2" t="str">
        <f>CHAR(34)&amp;Combined[[#This Row],[Episode number from TVMaze]]&amp;CHAR(34)&amp;": "&amp;CHAR(34)&amp;Combined[[#This Row],[Path]]&amp;CHAR(34)&amp;","</f>
        <v>"S02E11": "/home/ziga/share/Series/Other/0 Home and Gardening/Grand Designs/Season 02/Grand Designs - S02E11 - Revisited - Islington - The House of Straw (Revisited from S1 Ep7).avi",</v>
      </c>
      <c r="K21" s="2" t="s">
        <v>830</v>
      </c>
      <c r="L21" s="2" t="str">
        <f>CHAR(34)&amp;Combined[[#This Row],[Episode number from TVMaze]]&amp;CHAR(34)&amp;": "&amp;CHAR(34)&amp;Combined[[#This Row],[Correct TVDB episode number for getting image url]]&amp;CHAR(34)&amp;","</f>
        <v>"S02E11": "S01E11",</v>
      </c>
      <c r="M21" s="2" t="b">
        <f>Combined[[#This Row],[Correct TVDB episode number for getting image url]]=Combined[[#This Row],[Episode number from TVMaze]]</f>
        <v>0</v>
      </c>
      <c r="N21" s="2" t="str">
        <f>IF(Combined[[#This Row],[Have file]],IF(LEN(Combined[[#This Row],[Correct TVDB episode number for getting image url]])=0,"Find correct episode number for TheTVDB",""),"Find episode on the internet")</f>
        <v/>
      </c>
    </row>
    <row r="22" spans="1:14" x14ac:dyDescent="0.25">
      <c r="A22" t="str">
        <f>TVMaze[[#This Row],[Episode number]]</f>
        <v>S02E12</v>
      </c>
      <c r="B22" t="b">
        <f>IF(ISNUMBER(MATCH(Combined[Episode number from TVMaze],Files[Episode number],0)),TRUE,FALSE)</f>
        <v>1</v>
      </c>
      <c r="C22" t="str">
        <f>TVMaze[[#This Row],[Name]]</f>
        <v>Revisited - Birmingham: The Self-Build (Revisited from S2 Ep6)</v>
      </c>
      <c r="D22" t="str">
        <f>VLOOKUP(Combined[[#This Row],[Episode number from TVMaze]],TVDB[],2,FALSE)</f>
        <v>Revisited - Lambourn: The Cruciform House</v>
      </c>
      <c r="E22" s="2" t="b">
        <f>_xlfn.IFNA(Combined[[#This Row],[Name from TVMaze]]=Combined[[#This Row],[Name from TVDB]],FALSE)</f>
        <v>0</v>
      </c>
      <c r="F22" s="2"/>
      <c r="G22" s="3">
        <f>VLOOKUP(Combined[[#This Row],[Episode number from TVMaze]],TVMazePython[],3,FALSE)</f>
        <v>37224</v>
      </c>
      <c r="H22" s="2" t="str">
        <f>VLOOKUP(Combined[[#This Row],[Episode number from TVMaze]],TVMazePython[],4,FALSE)</f>
        <v>Kevin McCloud revisits a housing scheme in Birmingham. It's near impossible for many people, particularly those on a low income, to buy their own home. However, a Birmingham Housing Association along with Angela and Peter has set up a scheme that allows people to build one instead. The group of 11 men and women will build, not just their own property, but each other's homes as well. None of these budding self-builders have previous experience in the trade and have undergone extensive training to teach them the ropes.</v>
      </c>
      <c r="I22" s="2" t="str">
        <f>VLOOKUP(Combined[[#This Row],[Episode number from TVMaze]],Files[],3,FALSE)</f>
        <v>/home/ziga/share/Series/Other/0 Home and Gardening/Grand Designs/Season 02/Grand Designs - S02E12 - Revisited - Birmingham - The Self-Build (Revisited from S2 Ep6).avi</v>
      </c>
      <c r="J22" s="2" t="str">
        <f>CHAR(34)&amp;Combined[[#This Row],[Episode number from TVMaze]]&amp;CHAR(34)&amp;": "&amp;CHAR(34)&amp;Combined[[#This Row],[Path]]&amp;CHAR(34)&amp;","</f>
        <v>"S02E12": "/home/ziga/share/Series/Other/0 Home and Gardening/Grand Designs/Season 02/Grand Designs - S02E12 - Revisited - Birmingham - The Self-Build (Revisited from S2 Ep6).avi",</v>
      </c>
      <c r="K22" s="2" t="s">
        <v>845</v>
      </c>
      <c r="L22" s="2" t="str">
        <f>CHAR(34)&amp;Combined[[#This Row],[Episode number from TVMaze]]&amp;CHAR(34)&amp;": "&amp;CHAR(34)&amp;Combined[[#This Row],[Correct TVDB episode number for getting image url]]&amp;CHAR(34)&amp;","</f>
        <v>"S02E12": "S02E09",</v>
      </c>
      <c r="M22" s="2" t="b">
        <f>Combined[[#This Row],[Correct TVDB episode number for getting image url]]=Combined[[#This Row],[Episode number from TVMaze]]</f>
        <v>0</v>
      </c>
      <c r="N22" s="2" t="str">
        <f>IF(Combined[[#This Row],[Have file]],IF(LEN(Combined[[#This Row],[Correct TVDB episode number for getting image url]])=0,"Find correct episode number for TheTVDB",""),"Find episode on the internet")</f>
        <v/>
      </c>
    </row>
    <row r="23" spans="1:14" x14ac:dyDescent="0.25">
      <c r="A23" t="str">
        <f>TVMaze[[#This Row],[Episode number]]</f>
        <v>S02E13</v>
      </c>
      <c r="B23" t="b">
        <f>IF(ISNUMBER(MATCH(Combined[Episode number from TVMaze],Files[Episode number],0)),TRUE,FALSE)</f>
        <v>1</v>
      </c>
      <c r="C23" t="str">
        <f>TVMaze[[#This Row],[Name]]</f>
        <v>Revisited - Brighton: The Co-Op (Revisited from S1 Ep3)</v>
      </c>
      <c r="D23" t="e">
        <f>VLOOKUP(Combined[[#This Row],[Episode number from TVMaze]],TVDB[],2,FALSE)</f>
        <v>#N/A</v>
      </c>
      <c r="E23" s="2" t="b">
        <f>_xlfn.IFNA(Combined[[#This Row],[Name from TVMaze]]=Combined[[#This Row],[Name from TVDB]],FALSE)</f>
        <v>0</v>
      </c>
      <c r="F23" s="2"/>
      <c r="G23" s="3">
        <f>VLOOKUP(Combined[[#This Row],[Episode number from TVMaze]],TVMazePython[],3,FALSE)</f>
        <v>37231</v>
      </c>
      <c r="H23" s="2" t="str">
        <f>VLOOKUP(Combined[[#This Row],[Episode number from TVMaze]],TVMazePython[],4,FALSE)</f>
        <v>Started in 1998, Kevin revisits a development of ten timber frame houses is based on the Walter Segal method of construction and was led by Jenny and Paul Crouch. They incorporate high levels of Warmcell insulation and benefit from south-facing solar gain. The roofs are of sedum.</v>
      </c>
      <c r="I23" s="2" t="str">
        <f>VLOOKUP(Combined[[#This Row],[Episode number from TVMaze]],Files[],3,FALSE)</f>
        <v>/home/ziga/share/Series/Other/0 Home and Gardening/Grand Designs/Season 02/Grand Designs - S02E13 - Revisited - Brighton - The Co-Op (Revisited from S1 Ep3).avi</v>
      </c>
      <c r="J23" s="2" t="str">
        <f>CHAR(34)&amp;Combined[[#This Row],[Episode number from TVMaze]]&amp;CHAR(34)&amp;": "&amp;CHAR(34)&amp;Combined[[#This Row],[Path]]&amp;CHAR(34)&amp;","</f>
        <v>"S02E13": "/home/ziga/share/Series/Other/0 Home and Gardening/Grand Designs/Season 02/Grand Designs - S02E13 - Revisited - Brighton - The Co-Op (Revisited from S1 Ep3).avi",</v>
      </c>
      <c r="K23" s="2" t="s">
        <v>831</v>
      </c>
      <c r="L23" s="2" t="str">
        <f>CHAR(34)&amp;Combined[[#This Row],[Episode number from TVMaze]]&amp;CHAR(34)&amp;": "&amp;CHAR(34)&amp;Combined[[#This Row],[Correct TVDB episode number for getting image url]]&amp;CHAR(34)&amp;","</f>
        <v>"S02E13": "S01E12",</v>
      </c>
      <c r="M23" s="2" t="b">
        <f>Combined[[#This Row],[Correct TVDB episode number for getting image url]]=Combined[[#This Row],[Episode number from TVMaze]]</f>
        <v>0</v>
      </c>
      <c r="N23" s="2" t="str">
        <f>IF(Combined[[#This Row],[Have file]],IF(LEN(Combined[[#This Row],[Correct TVDB episode number for getting image url]])=0,"Find correct episode number for TheTVDB",""),"Find episode on the internet")</f>
        <v/>
      </c>
    </row>
    <row r="24" spans="1:14" x14ac:dyDescent="0.25">
      <c r="A24" t="str">
        <f>TVMaze[[#This Row],[Episode number]]</f>
        <v>S02E14</v>
      </c>
      <c r="B24" t="b">
        <f>IF(ISNUMBER(MATCH(Combined[Episode number from TVMaze],Files[Episode number],0)),TRUE,FALSE)</f>
        <v>1</v>
      </c>
      <c r="C24" t="str">
        <f>TVMaze[[#This Row],[Name]]</f>
        <v>Revisited - Brecon Beacons, Wales: The Isolated Cottage (Revisited from S2 Ep4)</v>
      </c>
      <c r="D24" t="e">
        <f>VLOOKUP(Combined[[#This Row],[Episode number from TVMaze]],TVDB[],2,FALSE)</f>
        <v>#N/A</v>
      </c>
      <c r="E24" s="2" t="b">
        <f>_xlfn.IFNA(Combined[[#This Row],[Name from TVMaze]]=Combined[[#This Row],[Name from TVDB]],FALSE)</f>
        <v>0</v>
      </c>
      <c r="F24" s="2"/>
      <c r="G24" s="3">
        <f>VLOOKUP(Combined[[#This Row],[Episode number from TVMaze]],TVMazePython[],3,FALSE)</f>
        <v>37509</v>
      </c>
      <c r="H24" s="2" t="str">
        <f>VLOOKUP(Combined[[#This Row],[Episode number from TVMaze]],TVMazePython[],4,FALSE)</f>
        <v>Kevin McCloud returns to Wales to visit Adrian and Corrina, who have decided that their first home will be a 300-year-old ruin. The cottage is set in the Brecon Beacons National Park, Corrina and Adrian have a very small budget and an enormous amount of work to do to return the ruin to its former glory but they are eager and seemingly undaunted by the scale of the project. But how will they cope when the elements suddenly turn on them?</v>
      </c>
      <c r="I24" s="2" t="str">
        <f>VLOOKUP(Combined[[#This Row],[Episode number from TVMaze]],Files[],3,FALSE)</f>
        <v>/home/ziga/share/Series/Other/0 Home and Gardening/Grand Designs/Season 02/Grand Designs - S02E14 - Revisited - Brecon Beacons Wales - The Isolated Cottage (Revisited from S2 Ep4).avi</v>
      </c>
      <c r="J24" s="2" t="str">
        <f>CHAR(34)&amp;Combined[[#This Row],[Episode number from TVMaze]]&amp;CHAR(34)&amp;": "&amp;CHAR(34)&amp;Combined[[#This Row],[Path]]&amp;CHAR(34)&amp;","</f>
        <v>"S02E14": "/home/ziga/share/Series/Other/0 Home and Gardening/Grand Designs/Season 02/Grand Designs - S02E14 - Revisited - Brecon Beacons Wales - The Isolated Cottage (Revisited from S2 Ep4).avi",</v>
      </c>
      <c r="K24" s="2" t="s">
        <v>846</v>
      </c>
      <c r="L24" s="2" t="str">
        <f>CHAR(34)&amp;Combined[[#This Row],[Episode number from TVMaze]]&amp;CHAR(34)&amp;": "&amp;CHAR(34)&amp;Combined[[#This Row],[Correct TVDB episode number for getting image url]]&amp;CHAR(34)&amp;","</f>
        <v>"S02E14": "S02E10",</v>
      </c>
      <c r="M24" s="2" t="b">
        <f>Combined[[#This Row],[Correct TVDB episode number for getting image url]]=Combined[[#This Row],[Episode number from TVMaze]]</f>
        <v>0</v>
      </c>
      <c r="N24" s="2" t="str">
        <f>IF(Combined[[#This Row],[Have file]],IF(LEN(Combined[[#This Row],[Correct TVDB episode number for getting image url]])=0,"Find correct episode number for TheTVDB",""),"Find episode on the internet")</f>
        <v/>
      </c>
    </row>
    <row r="25" spans="1:14" x14ac:dyDescent="0.25">
      <c r="A25" t="str">
        <f>TVMaze[[#This Row],[Episode number]]</f>
        <v>S02E15</v>
      </c>
      <c r="B25" t="b">
        <f>IF(ISNUMBER(MATCH(Combined[Episode number from TVMaze],Files[Episode number],0)),TRUE,FALSE)</f>
        <v>1</v>
      </c>
      <c r="C25" t="str">
        <f>TVMaze[[#This Row],[Name]]</f>
        <v>Revisited - London: The Dilapidated Georgian House (Revisited from Grand Designs Indoors - 15 March 2001)</v>
      </c>
      <c r="D25" t="e">
        <f>VLOOKUP(Combined[[#This Row],[Episode number from TVMaze]],TVDB[],2,FALSE)</f>
        <v>#N/A</v>
      </c>
      <c r="E25" s="2" t="b">
        <f>_xlfn.IFNA(Combined[[#This Row],[Name from TVMaze]]=Combined[[#This Row],[Name from TVDB]],FALSE)</f>
        <v>0</v>
      </c>
      <c r="F25" s="2"/>
      <c r="G25" s="3">
        <f>VLOOKUP(Combined[[#This Row],[Episode number from TVMaze]],TVMazePython[],3,FALSE)</f>
        <v>37516</v>
      </c>
      <c r="H25" s="2" t="str">
        <f>VLOOKUP(Combined[[#This Row],[Episode number from TVMaze]],TVMazePython[],4,FALSE)</f>
        <v>Kevin McCloud revisits Sharon and Tony Relph a couple who hoped to restore a dilapidated Georgian house in London to its former glory. Once 200 years of redecoration and refurbishment had been stripped away, the property boasted elegant period features, but the pair still had to overcome daunting interior decay problems.</v>
      </c>
      <c r="I25" s="2" t="str">
        <f>VLOOKUP(Combined[[#This Row],[Episode number from TVMaze]],Files[],3,FALSE)</f>
        <v>/home/ziga/share/Series/Other/0 Home and Gardening/Grand Designs/Season 02/Grand Designs - S02E15 - Revisited - London - The Dilapidated Georgian House (Revisited from Grand Designs Indoors - 15 March 2001).avi</v>
      </c>
      <c r="J25" s="2" t="str">
        <f>CHAR(34)&amp;Combined[[#This Row],[Episode number from TVMaze]]&amp;CHAR(34)&amp;": "&amp;CHAR(34)&amp;Combined[[#This Row],[Path]]&amp;CHAR(34)&amp;","</f>
        <v>"S02E15": "/home/ziga/share/Series/Other/0 Home and Gardening/Grand Designs/Season 02/Grand Designs - S02E15 - Revisited - London - The Dilapidated Georgian House (Revisited from Grand Designs Indoors - 15 March 2001).avi",</v>
      </c>
      <c r="K25" s="2" t="str">
        <f>IF(Combined[[#This Row],[Is name same]],Combined[[#This Row],[Episode number from TVMaze]],IF(Combined[[#This Row],[NFO created]]="No need",Combined[[#This Row],[Episode number from TVMaze]],""))</f>
        <v/>
      </c>
      <c r="L25" s="2" t="str">
        <f>CHAR(34)&amp;Combined[[#This Row],[Episode number from TVMaze]]&amp;CHAR(34)&amp;": "&amp;CHAR(34)&amp;Combined[[#This Row],[Correct TVDB episode number for getting image url]]&amp;CHAR(34)&amp;","</f>
        <v>"S02E15": "",</v>
      </c>
      <c r="M25" s="2" t="b">
        <f>Combined[[#This Row],[Correct TVDB episode number for getting image url]]=Combined[[#This Row],[Episode number from TVMaze]]</f>
        <v>0</v>
      </c>
      <c r="N25" s="2" t="str">
        <f>IF(Combined[[#This Row],[Have file]],IF(LEN(Combined[[#This Row],[Correct TVDB episode number for getting image url]])=0,"Find correct episode number for TheTVDB",""),"Find episode on the internet")</f>
        <v>Find correct episode number for TheTVDB</v>
      </c>
    </row>
    <row r="26" spans="1:14" x14ac:dyDescent="0.25">
      <c r="A26" t="str">
        <f>TVMaze[[#This Row],[Episode number]]</f>
        <v>S02E16</v>
      </c>
      <c r="B26" t="b">
        <f>IF(ISNUMBER(MATCH(Combined[Episode number from TVMaze],Files[Episode number],0)),TRUE,FALSE)</f>
        <v>1</v>
      </c>
      <c r="C26" t="str">
        <f>TVMaze[[#This Row],[Name]]</f>
        <v>Revisited - Coleshill, Amersham: The Water Tower (Revisited from S1 Ep4)</v>
      </c>
      <c r="D26" t="e">
        <f>VLOOKUP(Combined[[#This Row],[Episode number from TVMaze]],TVDB[],2,FALSE)</f>
        <v>#N/A</v>
      </c>
      <c r="E26" s="2" t="b">
        <f>_xlfn.IFNA(Combined[[#This Row],[Name from TVMaze]]=Combined[[#This Row],[Name from TVDB]],FALSE)</f>
        <v>0</v>
      </c>
      <c r="F26" s="2"/>
      <c r="G26" s="3">
        <f>VLOOKUP(Combined[[#This Row],[Episode number from TVMaze]],TVMazePython[],3,FALSE)</f>
        <v>37523</v>
      </c>
      <c r="H26" s="2" t="str">
        <f>VLOOKUP(Combined[[#This Row],[Episode number from TVMaze]],TVMazePython[],4,FALSE)</f>
        <v>Kevin McCloud returns for a second visit to The Water Tower. As one of Grand Design's first projects, Andrew Tate and Deborah Mills found a site with a monstrous, dilapidated, 100 foot tall water tower on it. Unusually, they saw it as the perfect spot to build a contemporary family home and convert the old water tower into a seven-storey bedroom wing. Andrew is a commercial architect and so the modern new build went up in just four months, using fast-track methods alongside unconventional building materials. Kevin went back to see Andrew and Deborah three years after they had moved into their contemporary extension, but they had still made no progress on the water tower, and were living with minimal bedroom space.</v>
      </c>
      <c r="I26" s="2" t="str">
        <f>VLOOKUP(Combined[[#This Row],[Episode number from TVMaze]],Files[],3,FALSE)</f>
        <v>/home/ziga/share/Series/Other/0 Home and Gardening/Grand Designs/Season 02/Grand Designs - S02E16 - Revisited - Coleshill Amersham - The Water Tower (Revisited from S1 Ep4).avi</v>
      </c>
      <c r="J26" s="2" t="str">
        <f>CHAR(34)&amp;Combined[[#This Row],[Episode number from TVMaze]]&amp;CHAR(34)&amp;": "&amp;CHAR(34)&amp;Combined[[#This Row],[Path]]&amp;CHAR(34)&amp;","</f>
        <v>"S02E16": "/home/ziga/share/Series/Other/0 Home and Gardening/Grand Designs/Season 02/Grand Designs - S02E16 - Revisited - Coleshill Amersham - The Water Tower (Revisited from S1 Ep4).avi",</v>
      </c>
      <c r="K26" s="2" t="s">
        <v>832</v>
      </c>
      <c r="L26" s="2" t="str">
        <f>CHAR(34)&amp;Combined[[#This Row],[Episode number from TVMaze]]&amp;CHAR(34)&amp;": "&amp;CHAR(34)&amp;Combined[[#This Row],[Correct TVDB episode number for getting image url]]&amp;CHAR(34)&amp;","</f>
        <v>"S02E16": "S01E13",</v>
      </c>
      <c r="M26" s="2" t="b">
        <f>Combined[[#This Row],[Correct TVDB episode number for getting image url]]=Combined[[#This Row],[Episode number from TVMaze]]</f>
        <v>0</v>
      </c>
      <c r="N26" s="2" t="str">
        <f>IF(Combined[[#This Row],[Have file]],IF(LEN(Combined[[#This Row],[Correct TVDB episode number for getting image url]])=0,"Find correct episode number for TheTVDB",""),"Find episode on the internet")</f>
        <v/>
      </c>
    </row>
    <row r="27" spans="1:14" x14ac:dyDescent="0.25">
      <c r="A27" t="str">
        <f>TVMaze[[#This Row],[Episode number]]</f>
        <v>S02E17</v>
      </c>
      <c r="B27" t="b">
        <f>IF(ISNUMBER(MATCH(Combined[Episode number from TVMaze],Files[Episode number],0)),TRUE,FALSE)</f>
        <v>1</v>
      </c>
      <c r="C27" t="str">
        <f>TVMaze[[#This Row],[Name]]</f>
        <v>Revisited - Devon: The Derelict Barns (Revisited from S2 Ep8)</v>
      </c>
      <c r="D27" t="e">
        <f>VLOOKUP(Combined[[#This Row],[Episode number from TVMaze]],TVDB[],2,FALSE)</f>
        <v>#N/A</v>
      </c>
      <c r="E27" s="2" t="b">
        <f>_xlfn.IFNA(Combined[[#This Row],[Name from TVMaze]]=Combined[[#This Row],[Name from TVDB]],FALSE)</f>
        <v>0</v>
      </c>
      <c r="F27" s="2"/>
      <c r="G27" s="3">
        <f>VLOOKUP(Combined[[#This Row],[Episode number from TVMaze]],TVMazePython[],3,FALSE)</f>
        <v>37530</v>
      </c>
      <c r="H27" s="2" t="str">
        <f>VLOOKUP(Combined[[#This Row],[Episode number from TVMaze]],TVMazePython[],4,FALSE)</f>
        <v>Kevin McCloud returns to south Devon to revisit Sue Charman and Martin Whitlock whose dream was to create a family home which feels part of the earth, using old English building techniques. They were not starting from scratch, but rebuilding two ancient run-down barns. Environmental concerns were extremely important to them, but did they manage to realise their vision of rebuilding the barns in same meticulous way they were built originally, whilst incorporating energy efficient, 21st century technology?</v>
      </c>
      <c r="I27" s="2" t="str">
        <f>VLOOKUP(Combined[[#This Row],[Episode number from TVMaze]],Files[],3,FALSE)</f>
        <v>/home/ziga/share/Series/Other/0 Home and Gardening/Grand Designs/Season 02/Grand Designs - S02E17 - Revisited - Devon - The Derelict Barns (Revisited from S2 Ep8).avi</v>
      </c>
      <c r="J27" s="2" t="str">
        <f>CHAR(34)&amp;Combined[[#This Row],[Episode number from TVMaze]]&amp;CHAR(34)&amp;": "&amp;CHAR(34)&amp;Combined[[#This Row],[Path]]&amp;CHAR(34)&amp;","</f>
        <v>"S02E17": "/home/ziga/share/Series/Other/0 Home and Gardening/Grand Designs/Season 02/Grand Designs - S02E17 - Revisited - Devon - The Derelict Barns (Revisited from S2 Ep8).avi",</v>
      </c>
      <c r="K27" s="2" t="s">
        <v>847</v>
      </c>
      <c r="L27" s="2" t="str">
        <f>CHAR(34)&amp;Combined[[#This Row],[Episode number from TVMaze]]&amp;CHAR(34)&amp;": "&amp;CHAR(34)&amp;Combined[[#This Row],[Correct TVDB episode number for getting image url]]&amp;CHAR(34)&amp;","</f>
        <v>"S02E17": "S02E11",</v>
      </c>
      <c r="M27" s="2" t="b">
        <f>Combined[[#This Row],[Correct TVDB episode number for getting image url]]=Combined[[#This Row],[Episode number from TVMaze]]</f>
        <v>0</v>
      </c>
      <c r="N27" s="2" t="str">
        <f>IF(Combined[[#This Row],[Have file]],IF(LEN(Combined[[#This Row],[Correct TVDB episode number for getting image url]])=0,"Find correct episode number for TheTVDB",""),"Find episode on the internet")</f>
        <v/>
      </c>
    </row>
    <row r="28" spans="1:14" x14ac:dyDescent="0.25">
      <c r="A28" t="str">
        <f>TVMaze[[#This Row],[Episode number]]</f>
        <v>S03E01</v>
      </c>
      <c r="B28" t="b">
        <f>IF(ISNUMBER(MATCH(Combined[Episode number from TVMaze],Files[Episode number],0)),TRUE,FALSE)</f>
        <v>1</v>
      </c>
      <c r="C28" t="str">
        <f>TVMaze[[#This Row],[Name]]</f>
        <v>Peterborough: The Wooden Box</v>
      </c>
      <c r="D28" t="str">
        <f>VLOOKUP(Combined[[#This Row],[Episode number from TVMaze]],TVDB[],2,FALSE)</f>
        <v>Peterborough: The Wooden Box</v>
      </c>
      <c r="E28" s="2" t="b">
        <f>_xlfn.IFNA(Combined[[#This Row],[Name from TVMaze]]=Combined[[#This Row],[Name from TVDB]],FALSE)</f>
        <v>1</v>
      </c>
      <c r="F28" s="2"/>
      <c r="G28" s="3">
        <f>VLOOKUP(Combined[[#This Row],[Episode number from TVMaze]],TVMazePython[],3,FALSE)</f>
        <v>37664</v>
      </c>
      <c r="H28" s="2" t="str">
        <f>VLOOKUP(Combined[[#This Row],[Episode number from TVMaze]],TVMazePython[],4,FALSE)</f>
        <v>Kevin McCloud is in Cambridgeshire, where John and Terri Westlake intend to knock down a derelict house and commission commercial architects to build them a new one.</v>
      </c>
      <c r="I28" s="2" t="str">
        <f>VLOOKUP(Combined[[#This Row],[Episode number from TVMaze]],Files[],3,FALSE)</f>
        <v>/home/ziga/share/Series/Other/0 Home and Gardening/Grand Designs/Season 03/Grand Designs - S03E01 - Peterborough - The Wooden Box.avi</v>
      </c>
      <c r="J28" s="2" t="str">
        <f>CHAR(34)&amp;Combined[[#This Row],[Episode number from TVMaze]]&amp;CHAR(34)&amp;": "&amp;CHAR(34)&amp;Combined[[#This Row],[Path]]&amp;CHAR(34)&amp;","</f>
        <v>"S03E01": "/home/ziga/share/Series/Other/0 Home and Gardening/Grand Designs/Season 03/Grand Designs - S03E01 - Peterborough - The Wooden Box.avi",</v>
      </c>
      <c r="K28" s="2" t="str">
        <f>IF(Combined[[#This Row],[Is name same]],Combined[[#This Row],[Episode number from TVMaze]],IF(Combined[[#This Row],[NFO created]]="No need",Combined[[#This Row],[Episode number from TVMaze]],""))</f>
        <v>S03E01</v>
      </c>
      <c r="L28" s="2" t="str">
        <f>CHAR(34)&amp;Combined[[#This Row],[Episode number from TVMaze]]&amp;CHAR(34)&amp;": "&amp;CHAR(34)&amp;Combined[[#This Row],[Correct TVDB episode number for getting image url]]&amp;CHAR(34)&amp;","</f>
        <v>"S03E01": "S03E01",</v>
      </c>
      <c r="M28" s="2" t="b">
        <f>Combined[[#This Row],[Correct TVDB episode number for getting image url]]=Combined[[#This Row],[Episode number from TVMaze]]</f>
        <v>1</v>
      </c>
      <c r="N28" s="2" t="str">
        <f>IF(Combined[[#This Row],[Have file]],IF(LEN(Combined[[#This Row],[Correct TVDB episode number for getting image url]])=0,"Find correct episode number for TheTVDB",""),"Find episode on the internet")</f>
        <v/>
      </c>
    </row>
    <row r="29" spans="1:14" x14ac:dyDescent="0.25">
      <c r="A29" t="str">
        <f>TVMaze[[#This Row],[Episode number]]</f>
        <v>S03E02</v>
      </c>
      <c r="B29" t="b">
        <f>IF(ISNUMBER(MATCH(Combined[Episode number from TVMaze],Files[Episode number],0)),TRUE,FALSE)</f>
        <v>1</v>
      </c>
      <c r="C29" t="str">
        <f>TVMaze[[#This Row],[Name]]</f>
        <v>Chesterfield: The Water-Works</v>
      </c>
      <c r="D29" t="str">
        <f>VLOOKUP(Combined[[#This Row],[Episode number from TVMaze]],TVDB[],2,FALSE)</f>
        <v>Chesterfield: The Water-Works</v>
      </c>
      <c r="E29" s="2" t="b">
        <f>_xlfn.IFNA(Combined[[#This Row],[Name from TVMaze]]=Combined[[#This Row],[Name from TVDB]],FALSE)</f>
        <v>1</v>
      </c>
      <c r="F29" s="2"/>
      <c r="G29" s="3">
        <f>VLOOKUP(Combined[[#This Row],[Episode number from TVMaze]],TVMazePython[],3,FALSE)</f>
        <v>37671</v>
      </c>
      <c r="H29" s="2" t="str">
        <f>VLOOKUP(Combined[[#This Row],[Episode number from TVMaze]],TVMazePython[],4,FALSE)</f>
        <v>The 1930s derelict water works Chris Jones and Leanne Smith fell in love with was huge and its design had clearly been inspired by Gilbert Scott's Bankside power station, now better known as the Tate Modern. But nothing would deter the couple. 'We looked at it,' said Chris, 'and saw our home.'</v>
      </c>
      <c r="I29" s="2" t="str">
        <f>VLOOKUP(Combined[[#This Row],[Episode number from TVMaze]],Files[],3,FALSE)</f>
        <v>/home/ziga/share/Series/Other/0 Home and Gardening/Grand Designs/Season 03/Grand Designs - S03E02 - Chesterfield - The Water-Works.mp4</v>
      </c>
      <c r="J29" s="2" t="str">
        <f>CHAR(34)&amp;Combined[[#This Row],[Episode number from TVMaze]]&amp;CHAR(34)&amp;": "&amp;CHAR(34)&amp;Combined[[#This Row],[Path]]&amp;CHAR(34)&amp;","</f>
        <v>"S03E02": "/home/ziga/share/Series/Other/0 Home and Gardening/Grand Designs/Season 03/Grand Designs - S03E02 - Chesterfield - The Water-Works.mp4",</v>
      </c>
      <c r="K29" s="2" t="str">
        <f>IF(Combined[[#This Row],[Is name same]],Combined[[#This Row],[Episode number from TVMaze]],IF(Combined[[#This Row],[NFO created]]="No need",Combined[[#This Row],[Episode number from TVMaze]],""))</f>
        <v>S03E02</v>
      </c>
      <c r="L29" s="2" t="str">
        <f>CHAR(34)&amp;Combined[[#This Row],[Episode number from TVMaze]]&amp;CHAR(34)&amp;": "&amp;CHAR(34)&amp;Combined[[#This Row],[Correct TVDB episode number for getting image url]]&amp;CHAR(34)&amp;","</f>
        <v>"S03E02": "S03E02",</v>
      </c>
      <c r="M29" s="2" t="b">
        <f>Combined[[#This Row],[Correct TVDB episode number for getting image url]]=Combined[[#This Row],[Episode number from TVMaze]]</f>
        <v>1</v>
      </c>
      <c r="N29" s="2" t="str">
        <f>IF(Combined[[#This Row],[Have file]],IF(LEN(Combined[[#This Row],[Correct TVDB episode number for getting image url]])=0,"Find correct episode number for TheTVDB",""),"Find episode on the internet")</f>
        <v/>
      </c>
    </row>
    <row r="30" spans="1:14" x14ac:dyDescent="0.25">
      <c r="A30" t="str">
        <f>TVMaze[[#This Row],[Episode number]]</f>
        <v>S03E03</v>
      </c>
      <c r="B30" t="b">
        <f>IF(ISNUMBER(MATCH(Combined[Episode number from TVMaze],Files[Episode number],0)),TRUE,FALSE)</f>
        <v>1</v>
      </c>
      <c r="C30" t="str">
        <f>TVMaze[[#This Row],[Name]]</f>
        <v>Sussex: The Woodsmans Cottage</v>
      </c>
      <c r="D30" t="str">
        <f>VLOOKUP(Combined[[#This Row],[Episode number from TVMaze]],TVDB[],2,FALSE)</f>
        <v>Sussex: The Woodsmans Cottage</v>
      </c>
      <c r="E30" s="2" t="b">
        <f>_xlfn.IFNA(Combined[[#This Row],[Name from TVMaze]]=Combined[[#This Row],[Name from TVDB]],FALSE)</f>
        <v>1</v>
      </c>
      <c r="F30" s="2"/>
      <c r="G30" s="3">
        <f>VLOOKUP(Combined[[#This Row],[Episode number from TVMaze]],TVMazePython[],3,FALSE)</f>
        <v>37678</v>
      </c>
      <c r="H30" s="2" t="str">
        <f>VLOOKUP(Combined[[#This Row],[Episode number from TVMaze]],TVMazePython[],4,FALSE)</f>
        <v>For 10 years, Ben Law lived in tents and caravans in a wood in West Sussex. As a woodsman, he needed and wanted to live among the trees, but now he wants a house for some creature comforts. Ben has invited volunteers to help him build a sustainable house by hand, from the materials growing around him.</v>
      </c>
      <c r="I30" s="2" t="str">
        <f>VLOOKUP(Combined[[#This Row],[Episode number from TVMaze]],Files[],3,FALSE)</f>
        <v>/home/ziga/share/Series/Other/0 Home and Gardening/Grand Designs/Season 03/Grand Designs - S03E03 - Sussex - The Woodsmans Cottage.avi</v>
      </c>
      <c r="J30" s="2" t="str">
        <f>CHAR(34)&amp;Combined[[#This Row],[Episode number from TVMaze]]&amp;CHAR(34)&amp;": "&amp;CHAR(34)&amp;Combined[[#This Row],[Path]]&amp;CHAR(34)&amp;","</f>
        <v>"S03E03": "/home/ziga/share/Series/Other/0 Home and Gardening/Grand Designs/Season 03/Grand Designs - S03E03 - Sussex - The Woodsmans Cottage.avi",</v>
      </c>
      <c r="K30" s="2" t="str">
        <f>IF(Combined[[#This Row],[Is name same]],Combined[[#This Row],[Episode number from TVMaze]],IF(Combined[[#This Row],[NFO created]]="No need",Combined[[#This Row],[Episode number from TVMaze]],""))</f>
        <v>S03E03</v>
      </c>
      <c r="L30" s="2" t="str">
        <f>CHAR(34)&amp;Combined[[#This Row],[Episode number from TVMaze]]&amp;CHAR(34)&amp;": "&amp;CHAR(34)&amp;Combined[[#This Row],[Correct TVDB episode number for getting image url]]&amp;CHAR(34)&amp;","</f>
        <v>"S03E03": "S03E03",</v>
      </c>
      <c r="M30" s="2" t="b">
        <f>Combined[[#This Row],[Correct TVDB episode number for getting image url]]=Combined[[#This Row],[Episode number from TVMaze]]</f>
        <v>1</v>
      </c>
      <c r="N30" s="2" t="str">
        <f>IF(Combined[[#This Row],[Have file]],IF(LEN(Combined[[#This Row],[Correct TVDB episode number for getting image url]])=0,"Find correct episode number for TheTVDB",""),"Find episode on the internet")</f>
        <v/>
      </c>
    </row>
    <row r="31" spans="1:14" x14ac:dyDescent="0.25">
      <c r="A31" t="str">
        <f>TVMaze[[#This Row],[Episode number]]</f>
        <v>S03E04</v>
      </c>
      <c r="B31" t="b">
        <f>IF(ISNUMBER(MATCH(Combined[Episode number from TVMaze],Files[Episode number],0)),TRUE,FALSE)</f>
        <v>1</v>
      </c>
      <c r="C31" t="str">
        <f>TVMaze[[#This Row],[Name]]</f>
        <v>Surrey: The Victorian Threshing Barn</v>
      </c>
      <c r="D31" t="str">
        <f>VLOOKUP(Combined[[#This Row],[Episode number from TVMaze]],TVDB[],2,FALSE)</f>
        <v>Surrey: The Victorian Threshing Barn</v>
      </c>
      <c r="E31" s="2" t="b">
        <f>_xlfn.IFNA(Combined[[#This Row],[Name from TVMaze]]=Combined[[#This Row],[Name from TVDB]],FALSE)</f>
        <v>1</v>
      </c>
      <c r="F31" s="2"/>
      <c r="G31" s="3">
        <f>VLOOKUP(Combined[[#This Row],[Episode number from TVMaze]],TVMazePython[],3,FALSE)</f>
        <v>37685</v>
      </c>
      <c r="H31" s="2" t="str">
        <f>VLOOKUP(Combined[[#This Row],[Episode number from TVMaze]],TVMazePython[],4,FALSE)</f>
        <v>Philip and Angela Traill set out to convert a 150-year-old barn near Surrey. The barn is grade two listed which means they have to keep the outside intact but are free to do what they please on the inside. They didn't want to do another typical barn conversion, so they decided to build their "house" inside instead. A helical stairway leads to a suspended curved walkway, with master bedroom on one side and the children bedrooms on the other. The kitchen is in an adjacent stable block, which was integrated into the main building. The house is also packed with computer wiring a central stereo system and ambient lighting system consisting of 188 lights. Everywhere you look curves interplay with straight lines. The result is a beautiful mixture of new and old, exquisitely finished in detail.</v>
      </c>
      <c r="I31" s="2" t="str">
        <f>VLOOKUP(Combined[[#This Row],[Episode number from TVMaze]],Files[],3,FALSE)</f>
        <v>/home/ziga/share/Series/Other/0 Home and Gardening/Grand Designs/Season 03/Grand Designs - S03E04 - Surrey - The Victorian Threshing Barn.avi</v>
      </c>
      <c r="J31" s="2" t="str">
        <f>CHAR(34)&amp;Combined[[#This Row],[Episode number from TVMaze]]&amp;CHAR(34)&amp;": "&amp;CHAR(34)&amp;Combined[[#This Row],[Path]]&amp;CHAR(34)&amp;","</f>
        <v>"S03E04": "/home/ziga/share/Series/Other/0 Home and Gardening/Grand Designs/Season 03/Grand Designs - S03E04 - Surrey - The Victorian Threshing Barn.avi",</v>
      </c>
      <c r="K31" s="2" t="str">
        <f>IF(Combined[[#This Row],[Is name same]],Combined[[#This Row],[Episode number from TVMaze]],IF(Combined[[#This Row],[NFO created]]="No need",Combined[[#This Row],[Episode number from TVMaze]],""))</f>
        <v>S03E04</v>
      </c>
      <c r="L31" s="2" t="str">
        <f>CHAR(34)&amp;Combined[[#This Row],[Episode number from TVMaze]]&amp;CHAR(34)&amp;": "&amp;CHAR(34)&amp;Combined[[#This Row],[Correct TVDB episode number for getting image url]]&amp;CHAR(34)&amp;","</f>
        <v>"S03E04": "S03E04",</v>
      </c>
      <c r="M31" s="2" t="b">
        <f>Combined[[#This Row],[Correct TVDB episode number for getting image url]]=Combined[[#This Row],[Episode number from TVMaze]]</f>
        <v>1</v>
      </c>
      <c r="N31" s="2" t="str">
        <f>IF(Combined[[#This Row],[Have file]],IF(LEN(Combined[[#This Row],[Correct TVDB episode number for getting image url]])=0,"Find correct episode number for TheTVDB",""),"Find episode on the internet")</f>
        <v/>
      </c>
    </row>
    <row r="32" spans="1:14" x14ac:dyDescent="0.25">
      <c r="A32" t="str">
        <f>TVMaze[[#This Row],[Episode number]]</f>
        <v>S03E05</v>
      </c>
      <c r="B32" t="b">
        <f>IF(ISNUMBER(MATCH(Combined[Episode number from TVMaze],Files[Episode number],0)),TRUE,FALSE)</f>
        <v>0</v>
      </c>
      <c r="C32" t="str">
        <f>TVMaze[[#This Row],[Name]]</f>
        <v>Buckinghamshire: The Inverted-Roof House</v>
      </c>
      <c r="D32" t="str">
        <f>VLOOKUP(Combined[[#This Row],[Episode number from TVMaze]],TVDB[],2,FALSE)</f>
        <v>Buckinghamshire: The Inverted-Roof House</v>
      </c>
      <c r="E32" s="2" t="b">
        <f>_xlfn.IFNA(Combined[[#This Row],[Name from TVMaze]]=Combined[[#This Row],[Name from TVDB]],FALSE)</f>
        <v>1</v>
      </c>
      <c r="F32" s="2"/>
      <c r="G32" s="3">
        <f>VLOOKUP(Combined[[#This Row],[Episode number from TVMaze]],TVMazePython[],3,FALSE)</f>
        <v>37692</v>
      </c>
      <c r="H32" s="2" t="str">
        <f>VLOOKUP(Combined[[#This Row],[Episode number from TVMaze]],TVMazePython[],4,FALSE)</f>
        <v>Tom and Judy Perry wanted more than just a home for themselves and their two children. On a site of outstanding natural beauty in Buckinghamshire, they set out to build an ambitious house – a symphony of angles, glass walls and exposed steel, with a dramatic inverted roof. Tom made himself site manager and main contractor. He had no experience but he liked a challenge – and, after all, how difficult could it be? And it turns out to be very difficult.</v>
      </c>
      <c r="I32" s="2" t="e">
        <f>VLOOKUP(Combined[[#This Row],[Episode number from TVMaze]],Files[],3,FALSE)</f>
        <v>#N/A</v>
      </c>
      <c r="J32" s="2" t="e">
        <f>CHAR(34)&amp;Combined[[#This Row],[Episode number from TVMaze]]&amp;CHAR(34)&amp;": "&amp;CHAR(34)&amp;Combined[[#This Row],[Path]]&amp;CHAR(34)&amp;","</f>
        <v>#N/A</v>
      </c>
      <c r="K32" s="2" t="str">
        <f>IF(Combined[[#This Row],[Is name same]],Combined[[#This Row],[Episode number from TVMaze]],IF(Combined[[#This Row],[NFO created]]="No need",Combined[[#This Row],[Episode number from TVMaze]],""))</f>
        <v>S03E05</v>
      </c>
      <c r="L32" s="2" t="str">
        <f>CHAR(34)&amp;Combined[[#This Row],[Episode number from TVMaze]]&amp;CHAR(34)&amp;": "&amp;CHAR(34)&amp;Combined[[#This Row],[Correct TVDB episode number for getting image url]]&amp;CHAR(34)&amp;","</f>
        <v>"S03E05": "S03E05",</v>
      </c>
      <c r="M32" s="2" t="b">
        <f>Combined[[#This Row],[Correct TVDB episode number for getting image url]]=Combined[[#This Row],[Episode number from TVMaze]]</f>
        <v>1</v>
      </c>
      <c r="N32" s="2" t="str">
        <f>IF(Combined[[#This Row],[Have file]],IF(LEN(Combined[[#This Row],[Correct TVDB episode number for getting image url]])=0,"Find correct episode number for TheTVDB",""),"Find episode on the internet")</f>
        <v>Find episode on the internet</v>
      </c>
    </row>
    <row r="33" spans="1:14" x14ac:dyDescent="0.25">
      <c r="A33" t="str">
        <f>TVMaze[[#This Row],[Episode number]]</f>
        <v>S03E06</v>
      </c>
      <c r="B33" t="b">
        <f>IF(ISNUMBER(MATCH(Combined[Episode number from TVMaze],Files[Episode number],0)),TRUE,FALSE)</f>
        <v>1</v>
      </c>
      <c r="C33" t="str">
        <f>TVMaze[[#This Row],[Name]]</f>
        <v>Hackney: The Terrace Conversion</v>
      </c>
      <c r="D33" t="str">
        <f>VLOOKUP(Combined[[#This Row],[Episode number from TVMaze]],TVDB[],2,FALSE)</f>
        <v>Hackney: The Terrace Conversion</v>
      </c>
      <c r="E33" s="2" t="b">
        <f>_xlfn.IFNA(Combined[[#This Row],[Name from TVMaze]]=Combined[[#This Row],[Name from TVDB]],FALSE)</f>
        <v>1</v>
      </c>
      <c r="F33" s="2"/>
      <c r="G33" s="3">
        <f>VLOOKUP(Combined[[#This Row],[Episode number from TVMaze]],TVMazePython[],3,FALSE)</f>
        <v>37881</v>
      </c>
      <c r="H33" s="2" t="str">
        <f>VLOOKUP(Combined[[#This Row],[Episode number from TVMaze]],TVMazePython[],4,FALSE)</f>
        <v>After 10 years of living in a small house in east London, John Flood and Eleni Skordaki hankered after modern, open-plan living. They didn't want to move, so they decided to give their Victorian terrace home a radical redesign. The house was situated in a conservation area, so the outside had to remain unchanged. However, inside they decided to rip out everything, walls, ceilings, floors, and start completely a fresh.</v>
      </c>
      <c r="I33" s="2" t="str">
        <f>VLOOKUP(Combined[[#This Row],[Episode number from TVMaze]],Files[],3,FALSE)</f>
        <v>/home/ziga/share/Series/Other/0 Home and Gardening/Grand Designs/Season 03/Grand Designs - S03E06 - Hackney - The Terrace Conversion.avi</v>
      </c>
      <c r="J33" s="2" t="str">
        <f>CHAR(34)&amp;Combined[[#This Row],[Episode number from TVMaze]]&amp;CHAR(34)&amp;": "&amp;CHAR(34)&amp;Combined[[#This Row],[Path]]&amp;CHAR(34)&amp;","</f>
        <v>"S03E06": "/home/ziga/share/Series/Other/0 Home and Gardening/Grand Designs/Season 03/Grand Designs - S03E06 - Hackney - The Terrace Conversion.avi",</v>
      </c>
      <c r="K33" s="2" t="str">
        <f>IF(Combined[[#This Row],[Is name same]],Combined[[#This Row],[Episode number from TVMaze]],IF(Combined[[#This Row],[NFO created]]="No need",Combined[[#This Row],[Episode number from TVMaze]],""))</f>
        <v>S03E06</v>
      </c>
      <c r="L33" s="2" t="str">
        <f>CHAR(34)&amp;Combined[[#This Row],[Episode number from TVMaze]]&amp;CHAR(34)&amp;": "&amp;CHAR(34)&amp;Combined[[#This Row],[Correct TVDB episode number for getting image url]]&amp;CHAR(34)&amp;","</f>
        <v>"S03E06": "S03E06",</v>
      </c>
      <c r="M33" s="2" t="b">
        <f>Combined[[#This Row],[Correct TVDB episode number for getting image url]]=Combined[[#This Row],[Episode number from TVMaze]]</f>
        <v>1</v>
      </c>
      <c r="N33" s="2" t="str">
        <f>IF(Combined[[#This Row],[Have file]],IF(LEN(Combined[[#This Row],[Correct TVDB episode number for getting image url]])=0,"Find correct episode number for TheTVDB",""),"Find episode on the internet")</f>
        <v/>
      </c>
    </row>
    <row r="34" spans="1:14" x14ac:dyDescent="0.25">
      <c r="A34" t="str">
        <f>TVMaze[[#This Row],[Episode number]]</f>
        <v>S03E07</v>
      </c>
      <c r="B34" t="b">
        <f>IF(ISNUMBER(MATCH(Combined[Episode number from TVMaze],Files[Episode number],0)),TRUE,FALSE)</f>
        <v>1</v>
      </c>
      <c r="C34" t="str">
        <f>TVMaze[[#This Row],[Name]]</f>
        <v>Cumbria: The Underground House</v>
      </c>
      <c r="D34" t="str">
        <f>VLOOKUP(Combined[[#This Row],[Episode number from TVMaze]],TVDB[],2,FALSE)</f>
        <v>Cumbria: The Underground House</v>
      </c>
      <c r="E34" s="2" t="b">
        <f>_xlfn.IFNA(Combined[[#This Row],[Name from TVMaze]]=Combined[[#This Row],[Name from TVDB]],FALSE)</f>
        <v>1</v>
      </c>
      <c r="F34" s="2"/>
      <c r="G34" s="3">
        <f>VLOOKUP(Combined[[#This Row],[Episode number from TVMaze]],TVMazePython[],3,FALSE)</f>
        <v>37888</v>
      </c>
      <c r="H34" s="2" t="str">
        <f>VLOOKUP(Combined[[#This Row],[Episode number from TVMaze]],TVMazePython[],4,FALSE)</f>
        <v>Helen Gould and Phil Reddy wanted their home to make the most of spectacular views, but they also wanted it to be ecologically friendly. Their solution was to build an earth-sheltered home, with most of the house built into the hillside.</v>
      </c>
      <c r="I34" s="2" t="str">
        <f>VLOOKUP(Combined[[#This Row],[Episode number from TVMaze]],Files[],3,FALSE)</f>
        <v>/home/ziga/share/Series/Other/0 Home and Gardening/Grand Designs/Season 03/Grand Designs - S03E07 - Cumbria - The Underground House.avi</v>
      </c>
      <c r="J34" s="2" t="str">
        <f>CHAR(34)&amp;Combined[[#This Row],[Episode number from TVMaze]]&amp;CHAR(34)&amp;": "&amp;CHAR(34)&amp;Combined[[#This Row],[Path]]&amp;CHAR(34)&amp;","</f>
        <v>"S03E07": "/home/ziga/share/Series/Other/0 Home and Gardening/Grand Designs/Season 03/Grand Designs - S03E07 - Cumbria - The Underground House.avi",</v>
      </c>
      <c r="K34" s="2" t="str">
        <f>IF(Combined[[#This Row],[Is name same]],Combined[[#This Row],[Episode number from TVMaze]],IF(Combined[[#This Row],[NFO created]]="No need",Combined[[#This Row],[Episode number from TVMaze]],""))</f>
        <v>S03E07</v>
      </c>
      <c r="L34" s="2" t="str">
        <f>CHAR(34)&amp;Combined[[#This Row],[Episode number from TVMaze]]&amp;CHAR(34)&amp;": "&amp;CHAR(34)&amp;Combined[[#This Row],[Correct TVDB episode number for getting image url]]&amp;CHAR(34)&amp;","</f>
        <v>"S03E07": "S03E07",</v>
      </c>
      <c r="M34" s="2" t="b">
        <f>Combined[[#This Row],[Correct TVDB episode number for getting image url]]=Combined[[#This Row],[Episode number from TVMaze]]</f>
        <v>1</v>
      </c>
      <c r="N34" s="2" t="str">
        <f>IF(Combined[[#This Row],[Have file]],IF(LEN(Combined[[#This Row],[Correct TVDB episode number for getting image url]])=0,"Find correct episode number for TheTVDB",""),"Find episode on the internet")</f>
        <v/>
      </c>
    </row>
    <row r="35" spans="1:14" x14ac:dyDescent="0.25">
      <c r="A35" t="str">
        <f>TVMaze[[#This Row],[Episode number]]</f>
        <v>S03E08</v>
      </c>
      <c r="B35" t="b">
        <f>IF(ISNUMBER(MATCH(Combined[Episode number from TVMaze],Files[Episode number],0)),TRUE,FALSE)</f>
        <v>1</v>
      </c>
      <c r="C35" t="str">
        <f>TVMaze[[#This Row],[Name]]</f>
        <v>Herefordshire: The Traditional Cottage</v>
      </c>
      <c r="D35" t="str">
        <f>VLOOKUP(Combined[[#This Row],[Episode number from TVMaze]],TVDB[],2,FALSE)</f>
        <v>Hereford: The Traditional Cottage</v>
      </c>
      <c r="E35" s="2" t="b">
        <f>_xlfn.IFNA(Combined[[#This Row],[Name from TVMaze]]=Combined[[#This Row],[Name from TVDB]],FALSE)</f>
        <v>0</v>
      </c>
      <c r="F35" s="2" t="s">
        <v>1316</v>
      </c>
      <c r="G35" s="3">
        <f>VLOOKUP(Combined[[#This Row],[Episode number from TVMaze]],TVMazePython[],3,FALSE)</f>
        <v>37895</v>
      </c>
      <c r="H35" s="2" t="str">
        <f>VLOOKUP(Combined[[#This Row],[Episode number from TVMaze]],TVMazePython[],4,FALSE)</f>
        <v>Merry's family have been Herefordshire builders for generations, so she knew that the county was rich in traditional building crafts. She and Ben Albright decided to combine these with technology for a new house with a genuinely rural feel.</v>
      </c>
      <c r="I35" s="2" t="str">
        <f>VLOOKUP(Combined[[#This Row],[Episode number from TVMaze]],Files[],3,FALSE)</f>
        <v>/home/ziga/share/Series/Other/0 Home and Gardening/Grand Designs/Season 03/Grand Designs - S03E08 - Herefordshire - The Traditional Cottage.avi</v>
      </c>
      <c r="J35" s="2" t="str">
        <f>CHAR(34)&amp;Combined[[#This Row],[Episode number from TVMaze]]&amp;CHAR(34)&amp;": "&amp;CHAR(34)&amp;Combined[[#This Row],[Path]]&amp;CHAR(34)&amp;","</f>
        <v>"S03E08": "/home/ziga/share/Series/Other/0 Home and Gardening/Grand Designs/Season 03/Grand Designs - S03E08 - Herefordshire - The Traditional Cottage.avi",</v>
      </c>
      <c r="K35" s="2" t="str">
        <f>IF(Combined[[#This Row],[Is name same]],Combined[[#This Row],[Episode number from TVMaze]],IF(Combined[[#This Row],[NFO created]]="No need",Combined[[#This Row],[Episode number from TVMaze]],""))</f>
        <v>S03E08</v>
      </c>
      <c r="L35" s="2" t="str">
        <f>CHAR(34)&amp;Combined[[#This Row],[Episode number from TVMaze]]&amp;CHAR(34)&amp;": "&amp;CHAR(34)&amp;Combined[[#This Row],[Correct TVDB episode number for getting image url]]&amp;CHAR(34)&amp;","</f>
        <v>"S03E08": "S03E08",</v>
      </c>
      <c r="M35" s="2" t="b">
        <f>Combined[[#This Row],[Correct TVDB episode number for getting image url]]=Combined[[#This Row],[Episode number from TVMaze]]</f>
        <v>1</v>
      </c>
      <c r="N35" s="2" t="str">
        <f>IF(Combined[[#This Row],[Have file]],IF(LEN(Combined[[#This Row],[Correct TVDB episode number for getting image url]])=0,"Find correct episode number for TheTVDB",""),"Find episode on the internet")</f>
        <v/>
      </c>
    </row>
    <row r="36" spans="1:14" x14ac:dyDescent="0.25">
      <c r="A36" t="str">
        <f>TVMaze[[#This Row],[Episode number]]</f>
        <v>S03E09</v>
      </c>
      <c r="B36" t="b">
        <f>IF(ISNUMBER(MATCH(Combined[Episode number from TVMaze],Files[Episode number],0)),TRUE,FALSE)</f>
        <v>0</v>
      </c>
      <c r="C36" t="str">
        <f>TVMaze[[#This Row],[Name]]</f>
        <v>Revisited - Lambourn Valley: The Cruciform House (Revisited from S2 Ep5)</v>
      </c>
      <c r="D36" t="str">
        <f>VLOOKUP(Combined[[#This Row],[Episode number from TVMaze]],TVDB[],2,FALSE)</f>
        <v>Revisited - Buckinghamshire: The Inverted-Roof House</v>
      </c>
      <c r="E36" s="2" t="b">
        <f>_xlfn.IFNA(Combined[[#This Row],[Name from TVMaze]]=Combined[[#This Row],[Name from TVDB]],FALSE)</f>
        <v>0</v>
      </c>
      <c r="F36" s="2"/>
      <c r="G36" s="3">
        <f>VLOOKUP(Combined[[#This Row],[Episode number from TVMaze]],TVMazePython[],3,FALSE)</f>
        <v>37902</v>
      </c>
      <c r="H36" s="2" t="str">
        <f>VLOOKUP(Combined[[#This Row],[Episode number from TVMaze]],TVMazePython[],4,FALSE)</f>
        <v>Kevin McCloud catches up with Rupert and Julie Upton. The three-year build on the picturesque slopes of the Berkshire Downs was wracked with hold-ups, set-backs and spiralling costs but the gardens have now been landscaped, and the timber frame has aged in colour from honey to silver as the property settles down into its outstanding rural setting.</v>
      </c>
      <c r="I36" s="2" t="e">
        <f>VLOOKUP(Combined[[#This Row],[Episode number from TVMaze]],Files[],3,FALSE)</f>
        <v>#N/A</v>
      </c>
      <c r="J36" s="2" t="e">
        <f>CHAR(34)&amp;Combined[[#This Row],[Episode number from TVMaze]]&amp;CHAR(34)&amp;": "&amp;CHAR(34)&amp;Combined[[#This Row],[Path]]&amp;CHAR(34)&amp;","</f>
        <v>#N/A</v>
      </c>
      <c r="K36" s="2" t="s">
        <v>848</v>
      </c>
      <c r="L36" s="2" t="str">
        <f>CHAR(34)&amp;Combined[[#This Row],[Episode number from TVMaze]]&amp;CHAR(34)&amp;": "&amp;CHAR(34)&amp;Combined[[#This Row],[Correct TVDB episode number for getting image url]]&amp;CHAR(34)&amp;","</f>
        <v>"S03E09": "S02E12",</v>
      </c>
      <c r="M36" s="2" t="b">
        <f>Combined[[#This Row],[Correct TVDB episode number for getting image url]]=Combined[[#This Row],[Episode number from TVMaze]]</f>
        <v>0</v>
      </c>
      <c r="N36" s="2" t="str">
        <f>IF(Combined[[#This Row],[Have file]],IF(LEN(Combined[[#This Row],[Correct TVDB episode number for getting image url]])=0,"Find correct episode number for TheTVDB",""),"Find episode on the internet")</f>
        <v>Find episode on the internet</v>
      </c>
    </row>
    <row r="37" spans="1:14" x14ac:dyDescent="0.25">
      <c r="A37" t="str">
        <f>TVMaze[[#This Row],[Episode number]]</f>
        <v>S03E10</v>
      </c>
      <c r="B37" t="b">
        <f>IF(ISNUMBER(MATCH(Combined[Episode number from TVMaze],Files[Episode number],0)),TRUE,FALSE)</f>
        <v>0</v>
      </c>
      <c r="C37" t="str">
        <f>TVMaze[[#This Row],[Name]]</f>
        <v>2nd Revisit - Islington: The House of Straw (Revisited from S1 Ep7 &amp; S2 Ep11)</v>
      </c>
      <c r="D37" t="str">
        <f>VLOOKUP(Combined[[#This Row],[Episode number from TVMaze]],TVDB[],2,FALSE)</f>
        <v>Revisited - Hackney: The Terrace Conversion</v>
      </c>
      <c r="E37" s="2" t="b">
        <f>_xlfn.IFNA(Combined[[#This Row],[Name from TVMaze]]=Combined[[#This Row],[Name from TVDB]],FALSE)</f>
        <v>0</v>
      </c>
      <c r="F37" s="2"/>
      <c r="G37" s="3">
        <f>VLOOKUP(Combined[[#This Row],[Episode number from TVMaze]],TVMazePython[],3,FALSE)</f>
        <v>37909</v>
      </c>
      <c r="H37" s="2" t="str">
        <f>VLOOKUP(Combined[[#This Row],[Episode number from TVMaze]],TVMazePython[],4,FALSE)</f>
        <v>Kevin McCloud catches up with Sarah Wigglesworth and Jeremy Till, who constructed their experimental central London house out of straw bales, springs, cloth cladding and sandbags. They laid themselves on the line, both professionally and personally, as their build slowly advanced from one architectural style to the next. Kevin returns to this award-winning house to find out whether it is well and truly finished.</v>
      </c>
      <c r="I37" s="2" t="e">
        <f>VLOOKUP(Combined[[#This Row],[Episode number from TVMaze]],Files[],3,FALSE)</f>
        <v>#N/A</v>
      </c>
      <c r="J37" s="2" t="e">
        <f>CHAR(34)&amp;Combined[[#This Row],[Episode number from TVMaze]]&amp;CHAR(34)&amp;": "&amp;CHAR(34)&amp;Combined[[#This Row],[Path]]&amp;CHAR(34)&amp;","</f>
        <v>#N/A</v>
      </c>
      <c r="K37" s="2" t="s">
        <v>833</v>
      </c>
      <c r="L37" s="2" t="str">
        <f>CHAR(34)&amp;Combined[[#This Row],[Episode number from TVMaze]]&amp;CHAR(34)&amp;": "&amp;CHAR(34)&amp;Combined[[#This Row],[Correct TVDB episode number for getting image url]]&amp;CHAR(34)&amp;","</f>
        <v>"S03E10": "S01E14",</v>
      </c>
      <c r="M37" s="2" t="b">
        <f>Combined[[#This Row],[Correct TVDB episode number for getting image url]]=Combined[[#This Row],[Episode number from TVMaze]]</f>
        <v>0</v>
      </c>
      <c r="N37" s="2" t="str">
        <f>IF(Combined[[#This Row],[Have file]],IF(LEN(Combined[[#This Row],[Correct TVDB episode number for getting image url]])=0,"Find correct episode number for TheTVDB",""),"Find episode on the internet")</f>
        <v>Find episode on the internet</v>
      </c>
    </row>
    <row r="38" spans="1:14" x14ac:dyDescent="0.25">
      <c r="A38" t="str">
        <f>TVMaze[[#This Row],[Episode number]]</f>
        <v>S03E11</v>
      </c>
      <c r="B38" t="b">
        <f>IF(ISNUMBER(MATCH(Combined[Episode number from TVMaze],Files[Episode number],0)),TRUE,FALSE)</f>
        <v>1</v>
      </c>
      <c r="C38" t="str">
        <f>TVMaze[[#This Row],[Name]]</f>
        <v>Revisited - Sunderland: The Former Electricity Sub-Station (Revisited from Grand Designs Indoors - 1 March 2001)</v>
      </c>
      <c r="D38" t="str">
        <f>VLOOKUP(Combined[[#This Row],[Episode number from TVMaze]],TVDB[],2,FALSE)</f>
        <v>Revisited - Sussex: The Woodsmans Cottage</v>
      </c>
      <c r="E38" s="2" t="b">
        <f>_xlfn.IFNA(Combined[[#This Row],[Name from TVMaze]]=Combined[[#This Row],[Name from TVDB]],FALSE)</f>
        <v>0</v>
      </c>
      <c r="F38" s="2"/>
      <c r="G38" s="3">
        <f>VLOOKUP(Combined[[#This Row],[Episode number from TVMaze]],TVMazePython[],3,FALSE)</f>
        <v>37916</v>
      </c>
      <c r="H38" s="2" t="str">
        <f>VLOOKUP(Combined[[#This Row],[Episode number from TVMaze]],TVMazePython[],4,FALSE)</f>
        <v>Kevin McCloud revisits a couple who converted a disused electricity substation in Sunderland into a four-bedroom family home, armed with just £50,000 and ideas from a book about Moroccan interiors. Despite a number of setbacks, Anne and Richard Curtis created a living space which, three years later, has had a sumptuous rooftop garden added to it.</v>
      </c>
      <c r="I38" s="2" t="str">
        <f>VLOOKUP(Combined[[#This Row],[Episode number from TVMaze]],Files[],3,FALSE)</f>
        <v>/home/ziga/share/Series/Other/0 Home and Gardening/Grand Designs/Season 03/Grand Designs - S03E11 - Revisited - Sunderland - The Former Electricity Sub-Station (Revisited from Grand Designs Indoors - 1 March 2001).avi</v>
      </c>
      <c r="J38" s="2" t="str">
        <f>CHAR(34)&amp;Combined[[#This Row],[Episode number from TVMaze]]&amp;CHAR(34)&amp;": "&amp;CHAR(34)&amp;Combined[[#This Row],[Path]]&amp;CHAR(34)&amp;","</f>
        <v>"S03E11": "/home/ziga/share/Series/Other/0 Home and Gardening/Grand Designs/Season 03/Grand Designs - S03E11 - Revisited - Sunderland - The Former Electricity Sub-Station (Revisited from Grand Designs Indoors - 1 March 2001).avi",</v>
      </c>
      <c r="K38" s="2" t="str">
        <f>IF(Combined[[#This Row],[Is name same]],Combined[[#This Row],[Episode number from TVMaze]],IF(Combined[[#This Row],[NFO created]]="No need",Combined[[#This Row],[Episode number from TVMaze]],""))</f>
        <v/>
      </c>
      <c r="L38" s="2" t="str">
        <f>CHAR(34)&amp;Combined[[#This Row],[Episode number from TVMaze]]&amp;CHAR(34)&amp;": "&amp;CHAR(34)&amp;Combined[[#This Row],[Correct TVDB episode number for getting image url]]&amp;CHAR(34)&amp;","</f>
        <v>"S03E11": "",</v>
      </c>
      <c r="M38" s="2" t="b">
        <f>Combined[[#This Row],[Correct TVDB episode number for getting image url]]=Combined[[#This Row],[Episode number from TVMaze]]</f>
        <v>0</v>
      </c>
      <c r="N38" s="2" t="str">
        <f>IF(Combined[[#This Row],[Have file]],IF(LEN(Combined[[#This Row],[Correct TVDB episode number for getting image url]])=0,"Find correct episode number for TheTVDB",""),"Find episode on the internet")</f>
        <v>Find correct episode number for TheTVDB</v>
      </c>
    </row>
    <row r="39" spans="1:14" x14ac:dyDescent="0.25">
      <c r="A39" t="str">
        <f>TVMaze[[#This Row],[Episode number]]</f>
        <v>S03E12</v>
      </c>
      <c r="B39" t="b">
        <f>IF(ISNUMBER(MATCH(Combined[Episode number from TVMaze],Files[Episode number],0)),TRUE,FALSE)</f>
        <v>1</v>
      </c>
      <c r="C39" t="str">
        <f>TVMaze[[#This Row],[Name]]</f>
        <v>Revisited - Berkshire: The English Barn (Revisited from S1 Ep2)</v>
      </c>
      <c r="D39" t="str">
        <f>VLOOKUP(Combined[[#This Row],[Episode number from TVMaze]],TVDB[],2,FALSE)</f>
        <v>Revisited - Peterborough: The Wooden Box</v>
      </c>
      <c r="E39" s="2" t="b">
        <f>_xlfn.IFNA(Combined[[#This Row],[Name from TVMaze]]=Combined[[#This Row],[Name from TVDB]],FALSE)</f>
        <v>0</v>
      </c>
      <c r="F39" s="2"/>
      <c r="G39" s="3">
        <f>VLOOKUP(Combined[[#This Row],[Episode number from TVMaze]],TVMazePython[],3,FALSE)</f>
        <v>37923</v>
      </c>
      <c r="H39" s="2" t="str">
        <f>VLOOKUP(Combined[[#This Row],[Episode number from TVMaze]],TVMazePython[],4,FALSE)</f>
        <v>Kevin McCloud catches up on retired couple Denys and Marjorie Randolph, who had decided to embark on their final building project, a brand new, green oak, barn-style house.</v>
      </c>
      <c r="I39" s="2" t="str">
        <f>VLOOKUP(Combined[[#This Row],[Episode number from TVMaze]],Files[],3,FALSE)</f>
        <v>/home/ziga/share/Series/Other/0 Home and Gardening/Grand Designs/Season 03/Grand Designs - S03E12 - Revisited - Berkshire - The English Barn (Revisited from S1 Ep2).avi</v>
      </c>
      <c r="J39" s="2" t="str">
        <f>CHAR(34)&amp;Combined[[#This Row],[Episode number from TVMaze]]&amp;CHAR(34)&amp;": "&amp;CHAR(34)&amp;Combined[[#This Row],[Path]]&amp;CHAR(34)&amp;","</f>
        <v>"S03E12": "/home/ziga/share/Series/Other/0 Home and Gardening/Grand Designs/Season 03/Grand Designs - S03E12 - Revisited - Berkshire - The English Barn (Revisited from S1 Ep2).avi",</v>
      </c>
      <c r="K39" s="2" t="s">
        <v>834</v>
      </c>
      <c r="L39" s="2" t="str">
        <f>CHAR(34)&amp;Combined[[#This Row],[Episode number from TVMaze]]&amp;CHAR(34)&amp;": "&amp;CHAR(34)&amp;Combined[[#This Row],[Correct TVDB episode number for getting image url]]&amp;CHAR(34)&amp;","</f>
        <v>"S03E12": "S01E15",</v>
      </c>
      <c r="M39" s="2" t="b">
        <f>Combined[[#This Row],[Correct TVDB episode number for getting image url]]=Combined[[#This Row],[Episode number from TVMaze]]</f>
        <v>0</v>
      </c>
      <c r="N39" s="2" t="str">
        <f>IF(Combined[[#This Row],[Have file]],IF(LEN(Combined[[#This Row],[Correct TVDB episode number for getting image url]])=0,"Find correct episode number for TheTVDB",""),"Find episode on the internet")</f>
        <v/>
      </c>
    </row>
    <row r="40" spans="1:14" x14ac:dyDescent="0.25">
      <c r="A40" t="str">
        <f>TVMaze[[#This Row],[Episode number]]</f>
        <v>S04E01</v>
      </c>
      <c r="B40" t="b">
        <f>IF(ISNUMBER(MATCH(Combined[Episode number from TVMaze],Files[Episode number],0)),TRUE,FALSE)</f>
        <v>1</v>
      </c>
      <c r="C40" t="str">
        <f>TVMaze[[#This Row],[Name]]</f>
        <v>Lambeth: The Violin Factory</v>
      </c>
      <c r="D40" t="str">
        <f>VLOOKUP(Combined[[#This Row],[Episode number from TVMaze]],TVDB[],2,FALSE)</f>
        <v>Waterloo: The Violin Factory</v>
      </c>
      <c r="E40" s="2" t="b">
        <f>_xlfn.IFNA(Combined[[#This Row],[Name from TVMaze]]=Combined[[#This Row],[Name from TVDB]],FALSE)</f>
        <v>0</v>
      </c>
      <c r="F40" s="2" t="s">
        <v>1316</v>
      </c>
      <c r="G40" s="3">
        <f>VLOOKUP(Combined[[#This Row],[Episode number from TVMaze]],TVMazePython[],3,FALSE)</f>
        <v>38007</v>
      </c>
      <c r="H40" s="2" t="str">
        <f>VLOOKUP(Combined[[#This Row],[Episode number from TVMaze]],TVMazePython[],4,FALSE)</f>
        <v>Louise and Milko Ostendorf wanted to build the home of a lifetime. Milko's job as a well-paid City banker meant they could think big, so Louise set up her own architectural practice and they bought a disused violin factory in the heart of London's Waterloo. The crumbling building was hemmed in on all sides and had no views, but Louise had a vision of a spectacular loft-style home that would combine stunning design with utter luxury.</v>
      </c>
      <c r="I40" s="2" t="str">
        <f>VLOOKUP(Combined[[#This Row],[Episode number from TVMaze]],Files[],3,FALSE)</f>
        <v>/home/ziga/share/Series/Other/0 Home and Gardening/Grand Designs/Season 04/Grand Designs - S04E01 - Lambeth - The Violin Factory.avi</v>
      </c>
      <c r="J40" s="2" t="str">
        <f>CHAR(34)&amp;Combined[[#This Row],[Episode number from TVMaze]]&amp;CHAR(34)&amp;": "&amp;CHAR(34)&amp;Combined[[#This Row],[Path]]&amp;CHAR(34)&amp;","</f>
        <v>"S04E01": "/home/ziga/share/Series/Other/0 Home and Gardening/Grand Designs/Season 04/Grand Designs - S04E01 - Lambeth - The Violin Factory.avi",</v>
      </c>
      <c r="K40" s="2" t="str">
        <f>IF(Combined[[#This Row],[Is name same]],Combined[[#This Row],[Episode number from TVMaze]],IF(Combined[[#This Row],[NFO created]]="No need",Combined[[#This Row],[Episode number from TVMaze]],""))</f>
        <v>S04E01</v>
      </c>
      <c r="L40" s="2" t="str">
        <f>CHAR(34)&amp;Combined[[#This Row],[Episode number from TVMaze]]&amp;CHAR(34)&amp;": "&amp;CHAR(34)&amp;Combined[[#This Row],[Correct TVDB episode number for getting image url]]&amp;CHAR(34)&amp;","</f>
        <v>"S04E01": "S04E01",</v>
      </c>
      <c r="M40" s="2" t="b">
        <f>Combined[[#This Row],[Correct TVDB episode number for getting image url]]=Combined[[#This Row],[Episode number from TVMaze]]</f>
        <v>1</v>
      </c>
      <c r="N40" s="2" t="str">
        <f>IF(Combined[[#This Row],[Have file]],IF(LEN(Combined[[#This Row],[Correct TVDB episode number for getting image url]])=0,"Find correct episode number for TheTVDB",""),"Find episode on the internet")</f>
        <v/>
      </c>
    </row>
    <row r="41" spans="1:14" x14ac:dyDescent="0.25">
      <c r="A41" t="str">
        <f>TVMaze[[#This Row],[Episode number]]</f>
        <v>S04E02</v>
      </c>
      <c r="B41" t="b">
        <f>IF(ISNUMBER(MATCH(Combined[Episode number from TVMaze],Files[Episode number],0)),TRUE,FALSE)</f>
        <v>1</v>
      </c>
      <c r="C41" t="str">
        <f>TVMaze[[#This Row],[Name]]</f>
        <v>Walton on Thames: Customised German Kit House</v>
      </c>
      <c r="D41" t="str">
        <f>VLOOKUP(Combined[[#This Row],[Episode number from TVMaze]],TVDB[],2,FALSE)</f>
        <v>Walton: The German Huf Haus</v>
      </c>
      <c r="E41" s="2" t="b">
        <f>_xlfn.IFNA(Combined[[#This Row],[Name from TVMaze]]=Combined[[#This Row],[Name from TVDB]],FALSE)</f>
        <v>0</v>
      </c>
      <c r="F41" s="2" t="s">
        <v>1316</v>
      </c>
      <c r="G41" s="3">
        <f>VLOOKUP(Combined[[#This Row],[Episode number from TVMaze]],TVMazePython[],3,FALSE)</f>
        <v>38014</v>
      </c>
      <c r="H41" s="2" t="str">
        <f>VLOOKUP(Combined[[#This Row],[Episode number from TVMaze]],TVMazePython[],4,FALSE)</f>
        <v>David and Greta Iredale loved their home, a modernist structure in Surrey that they had built themselves almost 40 years ago. It was filled with things they'd chosen over the years – design classics, mementoes, David's paintings. But that house was falling apart and had to come down. Meanwhile, they had lost their hearts to a German post-and-beam house, designed by architect Peter Huf and available as a customised kit (Huf Haus).</v>
      </c>
      <c r="I41" s="2" t="str">
        <f>VLOOKUP(Combined[[#This Row],[Episode number from TVMaze]],Files[],3,FALSE)</f>
        <v>/home/ziga/share/Series/Other/0 Home and Gardening/Grand Designs/Season 04/Grand Designs - S04E02 - Walton on Thames - Customised German Kit House.avi</v>
      </c>
      <c r="J41" s="2" t="str">
        <f>CHAR(34)&amp;Combined[[#This Row],[Episode number from TVMaze]]&amp;CHAR(34)&amp;": "&amp;CHAR(34)&amp;Combined[[#This Row],[Path]]&amp;CHAR(34)&amp;","</f>
        <v>"S04E02": "/home/ziga/share/Series/Other/0 Home and Gardening/Grand Designs/Season 04/Grand Designs - S04E02 - Walton on Thames - Customised German Kit House.avi",</v>
      </c>
      <c r="K41" s="2" t="str">
        <f>IF(Combined[[#This Row],[Is name same]],Combined[[#This Row],[Episode number from TVMaze]],IF(Combined[[#This Row],[NFO created]]="No need",Combined[[#This Row],[Episode number from TVMaze]],""))</f>
        <v>S04E02</v>
      </c>
      <c r="L41" s="2" t="str">
        <f>CHAR(34)&amp;Combined[[#This Row],[Episode number from TVMaze]]&amp;CHAR(34)&amp;": "&amp;CHAR(34)&amp;Combined[[#This Row],[Correct TVDB episode number for getting image url]]&amp;CHAR(34)&amp;","</f>
        <v>"S04E02": "S04E02",</v>
      </c>
      <c r="M41" s="2" t="b">
        <f>Combined[[#This Row],[Correct TVDB episode number for getting image url]]=Combined[[#This Row],[Episode number from TVMaze]]</f>
        <v>1</v>
      </c>
      <c r="N41" s="2" t="str">
        <f>IF(Combined[[#This Row],[Have file]],IF(LEN(Combined[[#This Row],[Correct TVDB episode number for getting image url]])=0,"Find correct episode number for TheTVDB",""),"Find episode on the internet")</f>
        <v/>
      </c>
    </row>
    <row r="42" spans="1:14" x14ac:dyDescent="0.25">
      <c r="A42" t="str">
        <f>TVMaze[[#This Row],[Episode number]]</f>
        <v>S04E03</v>
      </c>
      <c r="B42" t="b">
        <f>IF(ISNUMBER(MATCH(Combined[Episode number from TVMaze],Files[Episode number],0)),TRUE,FALSE)</f>
        <v>1</v>
      </c>
      <c r="C42" t="str">
        <f>TVMaze[[#This Row],[Name]]</f>
        <v>Revisited - Buckinghamshire: The Inverted-Roof House (Revisited from S3 Ep5)</v>
      </c>
      <c r="D42" t="str">
        <f>VLOOKUP(Combined[[#This Row],[Episode number from TVMaze]],TVDB[],2,FALSE)</f>
        <v>Edinburgh: 19th Century Sandstone House</v>
      </c>
      <c r="E42" s="2" t="b">
        <f>_xlfn.IFNA(Combined[[#This Row],[Name from TVMaze]]=Combined[[#This Row],[Name from TVDB]],FALSE)</f>
        <v>0</v>
      </c>
      <c r="F42" s="2"/>
      <c r="G42" s="3">
        <f>VLOOKUP(Combined[[#This Row],[Episode number from TVMaze]],TVMazePython[],3,FALSE)</f>
        <v>38021</v>
      </c>
      <c r="H42" s="2" t="str">
        <f>VLOOKUP(Combined[[#This Row],[Episode number from TVMaze]],TVMazePython[],4,FALSE)</f>
        <v>Tom and Judy Perry wanted more than just a home for themselves and their two children. On a site of outstanding natural beauty in Buckinghamshire, they set out to build an ambitious house – a symphony of angles, glass walls and exposed steel, with a dramatic inverted roof. Tom made himself site manager and main contractor. He had no experience but he liked a challenge – and, after all, how difficult could it be?</v>
      </c>
      <c r="I42" s="2" t="str">
        <f>VLOOKUP(Combined[[#This Row],[Episode number from TVMaze]],Files[],3,FALSE)</f>
        <v>/home/ziga/share/Series/Other/0 Home and Gardening/Grand Designs/Season 04/Grand Designs - S04E03 - Revisited - Buckinghamshire - The Inverted-Roof House (Revisited from S3 Ep5).avi</v>
      </c>
      <c r="J42" s="2" t="str">
        <f>CHAR(34)&amp;Combined[[#This Row],[Episode number from TVMaze]]&amp;CHAR(34)&amp;": "&amp;CHAR(34)&amp;Combined[[#This Row],[Path]]&amp;CHAR(34)&amp;","</f>
        <v>"S04E03": "/home/ziga/share/Series/Other/0 Home and Gardening/Grand Designs/Season 04/Grand Designs - S04E03 - Revisited - Buckinghamshire - The Inverted-Roof House (Revisited from S3 Ep5).avi",</v>
      </c>
      <c r="K42" s="2" t="s">
        <v>857</v>
      </c>
      <c r="L42" s="2" t="str">
        <f>CHAR(34)&amp;Combined[[#This Row],[Episode number from TVMaze]]&amp;CHAR(34)&amp;": "&amp;CHAR(34)&amp;Combined[[#This Row],[Correct TVDB episode number for getting image url]]&amp;CHAR(34)&amp;","</f>
        <v>"S04E03": "S03E09",</v>
      </c>
      <c r="M42" s="2" t="b">
        <f>Combined[[#This Row],[Correct TVDB episode number for getting image url]]=Combined[[#This Row],[Episode number from TVMaze]]</f>
        <v>0</v>
      </c>
      <c r="N42" s="2" t="str">
        <f>IF(Combined[[#This Row],[Have file]],IF(LEN(Combined[[#This Row],[Correct TVDB episode number for getting image url]])=0,"Find correct episode number for TheTVDB",""),"Find episode on the internet")</f>
        <v/>
      </c>
    </row>
    <row r="43" spans="1:14" x14ac:dyDescent="0.25">
      <c r="A43" t="str">
        <f>TVMaze[[#This Row],[Episode number]]</f>
        <v>S04E04</v>
      </c>
      <c r="B43" t="b">
        <f>IF(ISNUMBER(MATCH(Combined[Episode number from TVMaze],Files[Episode number],0)),TRUE,FALSE)</f>
        <v>1</v>
      </c>
      <c r="C43" t="str">
        <f>TVMaze[[#This Row],[Name]]</f>
        <v>Leith: 19th Century Sandstone House</v>
      </c>
      <c r="D43" t="str">
        <f>VLOOKUP(Combined[[#This Row],[Episode number from TVMaze]],TVDB[],2,FALSE)</f>
        <v>Clapham: The Curved House</v>
      </c>
      <c r="E43" s="2" t="b">
        <f>_xlfn.IFNA(Combined[[#This Row],[Name from TVMaze]]=Combined[[#This Row],[Name from TVDB]],FALSE)</f>
        <v>0</v>
      </c>
      <c r="F43" s="2"/>
      <c r="G43" s="3">
        <f>VLOOKUP(Combined[[#This Row],[Episode number from TVMaze]],TVMazePython[],3,FALSE)</f>
        <v>38028</v>
      </c>
      <c r="H43" s="2" t="str">
        <f>VLOOKUP(Combined[[#This Row],[Episode number from TVMaze]],TVMazePython[],4,FALSE)</f>
        <v>When Reuben Welch and April Marr came across a ruined 19th-century house amid the tower blocks of Leith, Edinburgh, they saw it as their future home. They had no clear idea of how to restore it, and precious little building experience. Still, they were young and fit (they had met on Reuben's climbing wall) and they liked a challenge. So they bought the crumbling shell and set about transforming it with their own hands.</v>
      </c>
      <c r="I43" s="2" t="str">
        <f>VLOOKUP(Combined[[#This Row],[Episode number from TVMaze]],Files[],3,FALSE)</f>
        <v>/home/ziga/share/Series/Other/0 Home and Gardening/Grand Designs/Season 04/Grand Designs - S04E04 - Leith - 19th Century Sandstone House.avi</v>
      </c>
      <c r="J43" s="2" t="str">
        <f>CHAR(34)&amp;Combined[[#This Row],[Episode number from TVMaze]]&amp;CHAR(34)&amp;": "&amp;CHAR(34)&amp;Combined[[#This Row],[Path]]&amp;CHAR(34)&amp;","</f>
        <v>"S04E04": "/home/ziga/share/Series/Other/0 Home and Gardening/Grand Designs/Season 04/Grand Designs - S04E04 - Leith - 19th Century Sandstone House.avi",</v>
      </c>
      <c r="K43" s="2" t="s">
        <v>866</v>
      </c>
      <c r="L43" s="2" t="str">
        <f>CHAR(34)&amp;Combined[[#This Row],[Episode number from TVMaze]]&amp;CHAR(34)&amp;": "&amp;CHAR(34)&amp;Combined[[#This Row],[Correct TVDB episode number for getting image url]]&amp;CHAR(34)&amp;","</f>
        <v>"S04E04": "S04E03",</v>
      </c>
      <c r="M43" s="2" t="b">
        <f>Combined[[#This Row],[Correct TVDB episode number for getting image url]]=Combined[[#This Row],[Episode number from TVMaze]]</f>
        <v>0</v>
      </c>
      <c r="N43" s="2" t="str">
        <f>IF(Combined[[#This Row],[Have file]],IF(LEN(Combined[[#This Row],[Correct TVDB episode number for getting image url]])=0,"Find correct episode number for TheTVDB",""),"Find episode on the internet")</f>
        <v/>
      </c>
    </row>
    <row r="44" spans="1:14" x14ac:dyDescent="0.25">
      <c r="A44" t="str">
        <f>TVMaze[[#This Row],[Episode number]]</f>
        <v>S04E05</v>
      </c>
      <c r="B44" t="b">
        <f>IF(ISNUMBER(MATCH(Combined[Episode number from TVMaze],Files[Episode number],0)),TRUE,FALSE)</f>
        <v>1</v>
      </c>
      <c r="C44" t="str">
        <f>TVMaze[[#This Row],[Name]]</f>
        <v>Clapham: The Curved House</v>
      </c>
      <c r="D44" t="str">
        <f>VLOOKUP(Combined[[#This Row],[Episode number from TVMaze]],TVDB[],2,FALSE)</f>
        <v>Sussex: The Modernist Sugar Cube</v>
      </c>
      <c r="E44" s="2" t="b">
        <f>_xlfn.IFNA(Combined[[#This Row],[Name from TVMaze]]=Combined[[#This Row],[Name from TVDB]],FALSE)</f>
        <v>0</v>
      </c>
      <c r="F44" s="2"/>
      <c r="G44" s="3">
        <f>VLOOKUP(Combined[[#This Row],[Episode number from TVMaze]],TVMazePython[],3,FALSE)</f>
        <v>38035</v>
      </c>
      <c r="H44" s="2" t="str">
        <f>VLOOKUP(Combined[[#This Row],[Episode number from TVMaze]],TVMazePython[],4,FALSE)</f>
        <v>David and Anjana Devoy's tiny coach house was proving too small for them and their two children. So they decided to build a new house in their own garden, which was big by London standards. But this particular grassy plot came with problems. It was overlooked by huge blocks of flats, and in the middle of it stood a chestnut tree they weren't allowed to cut down. They came up with an inspired solution: they would build a curving house along the borders of their plot. What's more, they would do a lot of the work themselves.</v>
      </c>
      <c r="I44" s="2" t="str">
        <f>VLOOKUP(Combined[[#This Row],[Episode number from TVMaze]],Files[],3,FALSE)</f>
        <v>/home/ziga/share/Series/Other/0 Home and Gardening/Grand Designs/Season 04/Grand Designs - S04E05 - Clapham - The Curved House.avi</v>
      </c>
      <c r="J44" s="2" t="str">
        <f>CHAR(34)&amp;Combined[[#This Row],[Episode number from TVMaze]]&amp;CHAR(34)&amp;": "&amp;CHAR(34)&amp;Combined[[#This Row],[Path]]&amp;CHAR(34)&amp;","</f>
        <v>"S04E05": "/home/ziga/share/Series/Other/0 Home and Gardening/Grand Designs/Season 04/Grand Designs - S04E05 - Clapham - The Curved House.avi",</v>
      </c>
      <c r="K44" s="2" t="s">
        <v>867</v>
      </c>
      <c r="L44" s="2" t="str">
        <f>CHAR(34)&amp;Combined[[#This Row],[Episode number from TVMaze]]&amp;CHAR(34)&amp;": "&amp;CHAR(34)&amp;Combined[[#This Row],[Correct TVDB episode number for getting image url]]&amp;CHAR(34)&amp;","</f>
        <v>"S04E05": "S04E04",</v>
      </c>
      <c r="M44" s="2" t="b">
        <f>Combined[[#This Row],[Correct TVDB episode number for getting image url]]=Combined[[#This Row],[Episode number from TVMaze]]</f>
        <v>0</v>
      </c>
      <c r="N44" s="2" t="str">
        <f>IF(Combined[[#This Row],[Have file]],IF(LEN(Combined[[#This Row],[Correct TVDB episode number for getting image url]])=0,"Find correct episode number for TheTVDB",""),"Find episode on the internet")</f>
        <v/>
      </c>
    </row>
    <row r="45" spans="1:14" x14ac:dyDescent="0.25">
      <c r="A45" t="str">
        <f>TVMaze[[#This Row],[Episode number]]</f>
        <v>S04E06</v>
      </c>
      <c r="B45" t="b">
        <f>IF(ISNUMBER(MATCH(Combined[Episode number from TVMaze],Files[Episode number],0)),TRUE,FALSE)</f>
        <v>1</v>
      </c>
      <c r="C45" t="str">
        <f>TVMaze[[#This Row],[Name]]</f>
        <v>Sussex: The Modernist Sugar Cube</v>
      </c>
      <c r="D45" t="str">
        <f>VLOOKUP(Combined[[#This Row],[Episode number from TVMaze]],TVDB[],2,FALSE)</f>
        <v>Argyll: The Oak-Framed House</v>
      </c>
      <c r="E45" s="2" t="b">
        <f>_xlfn.IFNA(Combined[[#This Row],[Name from TVMaze]]=Combined[[#This Row],[Name from TVDB]],FALSE)</f>
        <v>0</v>
      </c>
      <c r="F45" s="2"/>
      <c r="G45" s="3">
        <f>VLOOKUP(Combined[[#This Row],[Episode number from TVMaze]],TVMazePython[],3,FALSE)</f>
        <v>38042</v>
      </c>
      <c r="H45" s="2" t="str">
        <f>VLOOKUP(Combined[[#This Row],[Episode number from TVMaze]],TVMazePython[],4,FALSE)</f>
        <v>Tom Watkins and Darron Copping wanted to build a house that would be home to them, their art collection and their two large dogs. Darron's passion for surfing meant it would also have to be near a beach. They already shared a timber beach house in a hamlet on the Sussex coast, and when a neighbour's bungalow came up for sale, they decided to buy it, demolish it and build a dazzling white modernist house in its place.</v>
      </c>
      <c r="I45" s="2" t="str">
        <f>VLOOKUP(Combined[[#This Row],[Episode number from TVMaze]],Files[],3,FALSE)</f>
        <v>/home/ziga/share/Series/Other/0 Home and Gardening/Grand Designs/Season 04/Grand Designs - S04E06 - Sussex - The Modernist Sugar Cube.avi</v>
      </c>
      <c r="J45" s="2" t="str">
        <f>CHAR(34)&amp;Combined[[#This Row],[Episode number from TVMaze]]&amp;CHAR(34)&amp;": "&amp;CHAR(34)&amp;Combined[[#This Row],[Path]]&amp;CHAR(34)&amp;","</f>
        <v>"S04E06": "/home/ziga/share/Series/Other/0 Home and Gardening/Grand Designs/Season 04/Grand Designs - S04E06 - Sussex - The Modernist Sugar Cube.avi",</v>
      </c>
      <c r="K45" s="2" t="s">
        <v>868</v>
      </c>
      <c r="L45" s="2" t="str">
        <f>CHAR(34)&amp;Combined[[#This Row],[Episode number from TVMaze]]&amp;CHAR(34)&amp;": "&amp;CHAR(34)&amp;Combined[[#This Row],[Correct TVDB episode number for getting image url]]&amp;CHAR(34)&amp;","</f>
        <v>"S04E06": "S04E05",</v>
      </c>
      <c r="M45" s="2" t="b">
        <f>Combined[[#This Row],[Correct TVDB episode number for getting image url]]=Combined[[#This Row],[Episode number from TVMaze]]</f>
        <v>0</v>
      </c>
      <c r="N45" s="2" t="str">
        <f>IF(Combined[[#This Row],[Have file]],IF(LEN(Combined[[#This Row],[Correct TVDB episode number for getting image url]])=0,"Find correct episode number for TheTVDB",""),"Find episode on the internet")</f>
        <v/>
      </c>
    </row>
    <row r="46" spans="1:14" x14ac:dyDescent="0.25">
      <c r="A46" t="str">
        <f>TVMaze[[#This Row],[Episode number]]</f>
        <v>S04E07</v>
      </c>
      <c r="B46" t="b">
        <f>IF(ISNUMBER(MATCH(Combined[Episode number from TVMaze],Files[Episode number],0)),TRUE,FALSE)</f>
        <v>1</v>
      </c>
      <c r="C46" t="str">
        <f>TVMaze[[#This Row],[Name]]</f>
        <v>Argyll: The Oak-Framed House</v>
      </c>
      <c r="D46" t="str">
        <f>VLOOKUP(Combined[[#This Row],[Episode number from TVMaze]],TVDB[],2,FALSE)</f>
        <v>Dorset: An Idiosyncratic Home</v>
      </c>
      <c r="E46" s="2" t="b">
        <f>_xlfn.IFNA(Combined[[#This Row],[Name from TVMaze]]=Combined[[#This Row],[Name from TVDB]],FALSE)</f>
        <v>0</v>
      </c>
      <c r="F46" s="2"/>
      <c r="G46" s="3">
        <f>VLOOKUP(Combined[[#This Row],[Episode number from TVMaze]],TVMazePython[],3,FALSE)</f>
        <v>38049</v>
      </c>
      <c r="H46" s="2" t="str">
        <f>VLOOKUP(Combined[[#This Row],[Episode number from TVMaze]],TVMazePython[],4,FALSE)</f>
        <v>Tony and Jo Moffat, musicians with Scottish Opera, had long dreamed of a home in the countryside. They found a perfect site on the Clyde estuary in Argyll and Bute. Located in a small village on a hillside, it had glorious views as far as the isle of Arran and was less than an hour's drive from Glasgow. Inspired by local oak-framed barns, they gave architect Andy McAvoy an open brief. In return, he gave them a design that fused medieval and modern and promised a beautifully simple interior. However, the construction was anything but simple...</v>
      </c>
      <c r="I46" s="2" t="str">
        <f>VLOOKUP(Combined[[#This Row],[Episode number from TVMaze]],Files[],3,FALSE)</f>
        <v>/home/ziga/share/Series/Other/0 Home and Gardening/Grand Designs/Season 04/Grand Designs - S04E07 - Argyll - The Oak-Framed House.avi</v>
      </c>
      <c r="J46" s="2" t="str">
        <f>CHAR(34)&amp;Combined[[#This Row],[Episode number from TVMaze]]&amp;CHAR(34)&amp;": "&amp;CHAR(34)&amp;Combined[[#This Row],[Path]]&amp;CHAR(34)&amp;","</f>
        <v>"S04E07": "/home/ziga/share/Series/Other/0 Home and Gardening/Grand Designs/Season 04/Grand Designs - S04E07 - Argyll - The Oak-Framed House.avi",</v>
      </c>
      <c r="K46" s="2" t="s">
        <v>869</v>
      </c>
      <c r="L46" s="2" t="str">
        <f>CHAR(34)&amp;Combined[[#This Row],[Episode number from TVMaze]]&amp;CHAR(34)&amp;": "&amp;CHAR(34)&amp;Combined[[#This Row],[Correct TVDB episode number for getting image url]]&amp;CHAR(34)&amp;","</f>
        <v>"S04E07": "S04E06",</v>
      </c>
      <c r="M46" s="2" t="b">
        <f>Combined[[#This Row],[Correct TVDB episode number for getting image url]]=Combined[[#This Row],[Episode number from TVMaze]]</f>
        <v>0</v>
      </c>
      <c r="N46" s="2" t="str">
        <f>IF(Combined[[#This Row],[Have file]],IF(LEN(Combined[[#This Row],[Correct TVDB episode number for getting image url]])=0,"Find correct episode number for TheTVDB",""),"Find episode on the internet")</f>
        <v/>
      </c>
    </row>
    <row r="47" spans="1:14" x14ac:dyDescent="0.25">
      <c r="A47" t="str">
        <f>TVMaze[[#This Row],[Episode number]]</f>
        <v>S04E08</v>
      </c>
      <c r="B47" t="b">
        <f>IF(ISNUMBER(MATCH(Combined[Episode number from TVMaze],Files[Episode number],0)),TRUE,FALSE)</f>
        <v>1</v>
      </c>
      <c r="C47" t="str">
        <f>TVMaze[[#This Row],[Name]]</f>
        <v>Dorset: An Idiosyncratic Home</v>
      </c>
      <c r="D47" t="str">
        <f>VLOOKUP(Combined[[#This Row],[Episode number from TVMaze]],TVDB[],2,FALSE)</f>
        <v>Revisited - Edinburgh: 19th Century Sandstone House</v>
      </c>
      <c r="E47" s="2" t="b">
        <f>_xlfn.IFNA(Combined[[#This Row],[Name from TVMaze]]=Combined[[#This Row],[Name from TVDB]],FALSE)</f>
        <v>0</v>
      </c>
      <c r="F47" s="2"/>
      <c r="G47" s="3">
        <f>VLOOKUP(Combined[[#This Row],[Episode number from TVMaze]],TVMazePython[],3,FALSE)</f>
        <v>38056</v>
      </c>
      <c r="H47" s="2" t="str">
        <f>VLOOKUP(Combined[[#This Row],[Episode number from TVMaze]],TVMazePython[],4,FALSE)</f>
        <v>Amid 55 acres of organic farmland in the New Forest, Lizzie Vann and Mike Thrasher set out to build an idiosyncratic home. They wanted a house that would reflect their love of travel and eastern cultures, yet blend into the very English countryside around them. Their first proposal, for a wooden Japanese house, was refused planning permission, but after three years of adapting their ideas with architect David Underhill, they were finally ready to build. Their ingenious design was in three sections: a living wing, a bedroom wing and a romantic tower.</v>
      </c>
      <c r="I47" s="2" t="str">
        <f>VLOOKUP(Combined[[#This Row],[Episode number from TVMaze]],Files[],3,FALSE)</f>
        <v>/home/ziga/share/Series/Other/0 Home and Gardening/Grand Designs/Season 04/Grand Designs - S04E08 - Dorset - An Idiosyncratic Home.avi</v>
      </c>
      <c r="J47" s="2" t="str">
        <f>CHAR(34)&amp;Combined[[#This Row],[Episode number from TVMaze]]&amp;CHAR(34)&amp;": "&amp;CHAR(34)&amp;Combined[[#This Row],[Path]]&amp;CHAR(34)&amp;","</f>
        <v>"S04E08": "/home/ziga/share/Series/Other/0 Home and Gardening/Grand Designs/Season 04/Grand Designs - S04E08 - Dorset - An Idiosyncratic Home.avi",</v>
      </c>
      <c r="K47" s="2" t="s">
        <v>870</v>
      </c>
      <c r="L47" s="2" t="str">
        <f>CHAR(34)&amp;Combined[[#This Row],[Episode number from TVMaze]]&amp;CHAR(34)&amp;": "&amp;CHAR(34)&amp;Combined[[#This Row],[Correct TVDB episode number for getting image url]]&amp;CHAR(34)&amp;","</f>
        <v>"S04E08": "S04E07",</v>
      </c>
      <c r="M47" s="2" t="b">
        <f>Combined[[#This Row],[Correct TVDB episode number for getting image url]]=Combined[[#This Row],[Episode number from TVMaze]]</f>
        <v>0</v>
      </c>
      <c r="N47" s="2" t="str">
        <f>IF(Combined[[#This Row],[Have file]],IF(LEN(Combined[[#This Row],[Correct TVDB episode number for getting image url]])=0,"Find correct episode number for TheTVDB",""),"Find episode on the internet")</f>
        <v/>
      </c>
    </row>
    <row r="48" spans="1:14" x14ac:dyDescent="0.25">
      <c r="A48" t="str">
        <f>TVMaze[[#This Row],[Episode number]]</f>
        <v>S05E01</v>
      </c>
      <c r="B48" t="b">
        <f>IF(ISNUMBER(MATCH(Combined[Episode number from TVMaze],Files[Episode number],0)),TRUE,FALSE)</f>
        <v>0</v>
      </c>
      <c r="C48" t="str">
        <f>TVMaze[[#This Row],[Name]]</f>
        <v>Revisited - Edinburgh:19th Century Sandstone House (Revisited from S4 Ep4)</v>
      </c>
      <c r="D48" t="str">
        <f>VLOOKUP(Combined[[#This Row],[Episode number from TVMaze]],TVDB[],2,FALSE)</f>
        <v>Peckham: The Sliding Glass Roof House</v>
      </c>
      <c r="E48" s="2" t="b">
        <f>_xlfn.IFNA(Combined[[#This Row],[Name from TVMaze]]=Combined[[#This Row],[Name from TVDB]],FALSE)</f>
        <v>0</v>
      </c>
      <c r="F48" s="2"/>
      <c r="G48" s="3">
        <f>VLOOKUP(Combined[[#This Row],[Episode number from TVMaze]],TVMazePython[],3,FALSE)</f>
        <v>38448</v>
      </c>
      <c r="H48" s="2" t="str">
        <f>VLOOKUP(Combined[[#This Row],[Episode number from TVMaze]],TVMazePython[],4,FALSE)</f>
        <v>April Marr and Reuben Welch. Kevin McCloud revisits a thrill-seeking couple who bought a derelict 19th-century stone house in Edinburgh with the aim of restoring it to its former glory. He hopes to discover whether their lack of building experience hindered their ambitious project or if their energy and enthusiasm managed to pull them through.</v>
      </c>
      <c r="I48" s="2" t="e">
        <f>VLOOKUP(Combined[[#This Row],[Episode number from TVMaze]],Files[],3,FALSE)</f>
        <v>#N/A</v>
      </c>
      <c r="J48" s="2" t="e">
        <f>CHAR(34)&amp;Combined[[#This Row],[Episode number from TVMaze]]&amp;CHAR(34)&amp;": "&amp;CHAR(34)&amp;Combined[[#This Row],[Path]]&amp;CHAR(34)&amp;","</f>
        <v>#N/A</v>
      </c>
      <c r="K48" s="2" t="s">
        <v>871</v>
      </c>
      <c r="L48" s="2" t="str">
        <f>CHAR(34)&amp;Combined[[#This Row],[Episode number from TVMaze]]&amp;CHAR(34)&amp;": "&amp;CHAR(34)&amp;Combined[[#This Row],[Correct TVDB episode number for getting image url]]&amp;CHAR(34)&amp;","</f>
        <v>"S05E01": "S04E08",</v>
      </c>
      <c r="M48" s="2" t="b">
        <f>Combined[[#This Row],[Correct TVDB episode number for getting image url]]=Combined[[#This Row],[Episode number from TVMaze]]</f>
        <v>0</v>
      </c>
      <c r="N48" s="2" t="str">
        <f>IF(Combined[[#This Row],[Have file]],IF(LEN(Combined[[#This Row],[Correct TVDB episode number for getting image url]])=0,"Find correct episode number for TheTVDB",""),"Find episode on the internet")</f>
        <v>Find episode on the internet</v>
      </c>
    </row>
    <row r="49" spans="1:14" x14ac:dyDescent="0.25">
      <c r="A49" t="str">
        <f>TVMaze[[#This Row],[Episode number]]</f>
        <v>S05E02</v>
      </c>
      <c r="B49" t="b">
        <f>IF(ISNUMBER(MATCH(Combined[Episode number from TVMaze],Files[Episode number],0)),TRUE,FALSE)</f>
        <v>1</v>
      </c>
      <c r="C49" t="str">
        <f>TVMaze[[#This Row],[Name]]</f>
        <v>Peckham: The sliding glass roof house</v>
      </c>
      <c r="D49" t="str">
        <f>VLOOKUP(Combined[[#This Row],[Episode number from TVMaze]],TVDB[],2,FALSE)</f>
        <v>Gloucester: The 16th Century Farmhouse</v>
      </c>
      <c r="E49" s="2" t="b">
        <f>_xlfn.IFNA(Combined[[#This Row],[Name from TVMaze]]=Combined[[#This Row],[Name from TVDB]],FALSE)</f>
        <v>0</v>
      </c>
      <c r="F49" s="2"/>
      <c r="G49" s="3">
        <f>VLOOKUP(Combined[[#This Row],[Episode number from TVMaze]],TVMazePython[],3,FALSE)</f>
        <v>38455</v>
      </c>
      <c r="H49" s="2" t="str">
        <f>VLOOKUP(Combined[[#This Row],[Episode number from TVMaze]],TVMazePython[],4,FALSE)</f>
        <v>Here we see an extraordinary and inventive project in South London. This house proves that even in the most crowded areas of our cities, there is potential for Grand Designs. When Monty Ravenscroft and Clare Loewe began looking for a house to buy in London they soon realised that the only affordable option was to build one themselves. They snapped up a dirt cheap slither of land in Peckham at an auction only to be told it was too small to put a house on. Undeterred, three years ago, engineering whiz Monty began building an extraordinary experimental bungalow that filled the site to bursting point.</v>
      </c>
      <c r="I49" s="2" t="str">
        <f>VLOOKUP(Combined[[#This Row],[Episode number from TVMaze]],Files[],3,FALSE)</f>
        <v>/home/ziga/share/Series/Other/0 Home and Gardening/Grand Designs/Season 05/Grand Designs - S05E02 - Peckham - The sliding glass roof house.avi</v>
      </c>
      <c r="J49" s="2" t="str">
        <f>CHAR(34)&amp;Combined[[#This Row],[Episode number from TVMaze]]&amp;CHAR(34)&amp;": "&amp;CHAR(34)&amp;Combined[[#This Row],[Path]]&amp;CHAR(34)&amp;","</f>
        <v>"S05E02": "/home/ziga/share/Series/Other/0 Home and Gardening/Grand Designs/Season 05/Grand Designs - S05E02 - Peckham - The sliding glass roof house.avi",</v>
      </c>
      <c r="K49" s="2" t="s">
        <v>876</v>
      </c>
      <c r="L49" s="2" t="str">
        <f>CHAR(34)&amp;Combined[[#This Row],[Episode number from TVMaze]]&amp;CHAR(34)&amp;": "&amp;CHAR(34)&amp;Combined[[#This Row],[Correct TVDB episode number for getting image url]]&amp;CHAR(34)&amp;","</f>
        <v>"S05E02": "S05E01",</v>
      </c>
      <c r="M49" s="2" t="b">
        <f>Combined[[#This Row],[Correct TVDB episode number for getting image url]]=Combined[[#This Row],[Episode number from TVMaze]]</f>
        <v>0</v>
      </c>
      <c r="N49" s="2" t="str">
        <f>IF(Combined[[#This Row],[Have file]],IF(LEN(Combined[[#This Row],[Correct TVDB episode number for getting image url]])=0,"Find correct episode number for TheTVDB",""),"Find episode on the internet")</f>
        <v/>
      </c>
    </row>
    <row r="50" spans="1:14" x14ac:dyDescent="0.25">
      <c r="A50" t="str">
        <f>TVMaze[[#This Row],[Episode number]]</f>
        <v>S05E03</v>
      </c>
      <c r="B50" t="b">
        <f>IF(ISNUMBER(MATCH(Combined[Episode number from TVMaze],Files[Episode number],0)),TRUE,FALSE)</f>
        <v>1</v>
      </c>
      <c r="C50" t="str">
        <f>TVMaze[[#This Row],[Name]]</f>
        <v>Gloucester: The 16th Century Farmhouse</v>
      </c>
      <c r="D50" t="str">
        <f>VLOOKUP(Combined[[#This Row],[Episode number from TVMaze]],TVDB[],2,FALSE)</f>
        <v>Kent: Finnish Log Cabin</v>
      </c>
      <c r="E50" s="2" t="b">
        <f>_xlfn.IFNA(Combined[[#This Row],[Name from TVMaze]]=Combined[[#This Row],[Name from TVDB]],FALSE)</f>
        <v>0</v>
      </c>
      <c r="F50" s="2"/>
      <c r="G50" s="3">
        <f>VLOOKUP(Combined[[#This Row],[Episode number from TVMaze]],TVMazePython[],3,FALSE)</f>
        <v>38462</v>
      </c>
      <c r="H50" s="2" t="str">
        <f>VLOOKUP(Combined[[#This Row],[Episode number from TVMaze]],TVMazePython[],4,FALSE)</f>
        <v>When lawyers Jeremy and Louise Brown walked into Upthorpe Farm in Gloucester, they couldn't believe their eyes. It was like stepping back in time. Apart from a few minor alterations, the Grade II listed 16th-century farmhouse had barely been touched for over 400 years and was completely unmodernised with lots of original features. Now that they've purchased the property their ambitious design plan is to bring the farmhouse into the 21st century, blending the original historic features with modern simplicity and luxury. Kevin watches on intrigued as they tackle the challenge of reconciling the very old and the very contemporary.</v>
      </c>
      <c r="I50" s="2" t="str">
        <f>VLOOKUP(Combined[[#This Row],[Episode number from TVMaze]],Files[],3,FALSE)</f>
        <v>/home/ziga/share/Series/Other/0 Home and Gardening/Grand Designs/Season 05/Grand Designs - S05E03 - Gloucester - The 16th Century Farmhouse.avi</v>
      </c>
      <c r="J50" s="2" t="str">
        <f>CHAR(34)&amp;Combined[[#This Row],[Episode number from TVMaze]]&amp;CHAR(34)&amp;": "&amp;CHAR(34)&amp;Combined[[#This Row],[Path]]&amp;CHAR(34)&amp;","</f>
        <v>"S05E03": "/home/ziga/share/Series/Other/0 Home and Gardening/Grand Designs/Season 05/Grand Designs - S05E03 - Gloucester - The 16th Century Farmhouse.avi",</v>
      </c>
      <c r="K50" s="2" t="s">
        <v>877</v>
      </c>
      <c r="L50" s="2" t="str">
        <f>CHAR(34)&amp;Combined[[#This Row],[Episode number from TVMaze]]&amp;CHAR(34)&amp;": "&amp;CHAR(34)&amp;Combined[[#This Row],[Correct TVDB episode number for getting image url]]&amp;CHAR(34)&amp;","</f>
        <v>"S05E03": "S05E02",</v>
      </c>
      <c r="M50" s="2" t="b">
        <f>Combined[[#This Row],[Correct TVDB episode number for getting image url]]=Combined[[#This Row],[Episode number from TVMaze]]</f>
        <v>0</v>
      </c>
      <c r="N50" s="2" t="str">
        <f>IF(Combined[[#This Row],[Have file]],IF(LEN(Combined[[#This Row],[Correct TVDB episode number for getting image url]])=0,"Find correct episode number for TheTVDB",""),"Find episode on the internet")</f>
        <v/>
      </c>
    </row>
    <row r="51" spans="1:14" x14ac:dyDescent="0.25">
      <c r="A51" t="str">
        <f>TVMaze[[#This Row],[Episode number]]</f>
        <v>S05E04</v>
      </c>
      <c r="B51" t="b">
        <f>IF(ISNUMBER(MATCH(Combined[Episode number from TVMaze],Files[Episode number],0)),TRUE,FALSE)</f>
        <v>1</v>
      </c>
      <c r="C51" t="str">
        <f>TVMaze[[#This Row],[Name]]</f>
        <v>Kent: Finnish Log Cabin</v>
      </c>
      <c r="D51" t="str">
        <f>VLOOKUP(Combined[[#This Row],[Episode number from TVMaze]],TVDB[],2,FALSE)</f>
        <v>Devon: Shaped Like a Curvy Seashell</v>
      </c>
      <c r="E51" s="2" t="b">
        <f>_xlfn.IFNA(Combined[[#This Row],[Name from TVMaze]]=Combined[[#This Row],[Name from TVDB]],FALSE)</f>
        <v>0</v>
      </c>
      <c r="F51" s="2"/>
      <c r="G51" s="3">
        <f>VLOOKUP(Combined[[#This Row],[Episode number from TVMaze]],TVMazePython[],3,FALSE)</f>
        <v>38469</v>
      </c>
      <c r="H51" s="2" t="str">
        <f>VLOOKUP(Combined[[#This Row],[Episode number from TVMaze]],TVMazePython[],4,FALSE)</f>
        <v>John Cadney and Marnie Moon have never had a permanent home. So John, a carpenter, has rolled up his sleeves and decided to build a house for his family with his bare hands. For 16 years, John, Marnie and their children have camped on land owned by Marnie's parents, because they could never afford to buy a house in the area where they live. So now they're building their own place. After much searching for the right kind of house they settled on an environmentally friendly four-bedroom log cabin. The whole thing was imported from Finland as hundreds of pre-cut bits of wood. All John had to do is figure out how this kit house fits together!</v>
      </c>
      <c r="I51" s="2" t="str">
        <f>VLOOKUP(Combined[[#This Row],[Episode number from TVMaze]],Files[],3,FALSE)</f>
        <v>/home/ziga/share/Series/Other/0 Home and Gardening/Grand Designs/Season 05/Grand Designs - S05E04 - Kent - Finnish Log Cabin.avi</v>
      </c>
      <c r="J51" s="2" t="str">
        <f>CHAR(34)&amp;Combined[[#This Row],[Episode number from TVMaze]]&amp;CHAR(34)&amp;": "&amp;CHAR(34)&amp;Combined[[#This Row],[Path]]&amp;CHAR(34)&amp;","</f>
        <v>"S05E04": "/home/ziga/share/Series/Other/0 Home and Gardening/Grand Designs/Season 05/Grand Designs - S05E04 - Kent - Finnish Log Cabin.avi",</v>
      </c>
      <c r="K51" s="2" t="s">
        <v>878</v>
      </c>
      <c r="L51" s="2" t="str">
        <f>CHAR(34)&amp;Combined[[#This Row],[Episode number from TVMaze]]&amp;CHAR(34)&amp;": "&amp;CHAR(34)&amp;Combined[[#This Row],[Correct TVDB episode number for getting image url]]&amp;CHAR(34)&amp;","</f>
        <v>"S05E04": "S05E03",</v>
      </c>
      <c r="M51" s="2" t="b">
        <f>Combined[[#This Row],[Correct TVDB episode number for getting image url]]=Combined[[#This Row],[Episode number from TVMaze]]</f>
        <v>0</v>
      </c>
      <c r="N51" s="2" t="str">
        <f>IF(Combined[[#This Row],[Have file]],IF(LEN(Combined[[#This Row],[Correct TVDB episode number for getting image url]])=0,"Find correct episode number for TheTVDB",""),"Find episode on the internet")</f>
        <v/>
      </c>
    </row>
    <row r="52" spans="1:14" x14ac:dyDescent="0.25">
      <c r="A52" t="str">
        <f>TVMaze[[#This Row],[Episode number]]</f>
        <v>S05E05</v>
      </c>
      <c r="B52" t="b">
        <f>IF(ISNUMBER(MATCH(Combined[Episode number from TVMaze],Files[Episode number],0)),TRUE,FALSE)</f>
        <v>1</v>
      </c>
      <c r="C52" t="str">
        <f>TVMaze[[#This Row],[Name]]</f>
        <v>Revisited - Hackney: The Terrace Conversion (Revisited from S3 Ep6)</v>
      </c>
      <c r="D52" t="str">
        <f>VLOOKUP(Combined[[#This Row],[Episode number from TVMaze]],TVDB[],2,FALSE)</f>
        <v>Belfast: A 21st Century Answer to the Roman Villa</v>
      </c>
      <c r="E52" s="2" t="b">
        <f>_xlfn.IFNA(Combined[[#This Row],[Name from TVMaze]]=Combined[[#This Row],[Name from TVDB]],FALSE)</f>
        <v>0</v>
      </c>
      <c r="F52" s="2"/>
      <c r="G52" s="3">
        <f>VLOOKUP(Combined[[#This Row],[Episode number from TVMaze]],TVMazePython[],3,FALSE)</f>
        <v>38476</v>
      </c>
      <c r="H52" s="2" t="str">
        <f>VLOOKUP(Combined[[#This Row],[Episode number from TVMaze]],TVMazePython[],4,FALSE)</f>
        <v>Kevin McCloud revisits John Flood and Eleni Skordaki, who completely gutted their Victorian terraced house in Hackney, London, to create an open, light, modern space. He discovers whether the struggle to modernise their home while dealing with an Anglo-German conflict between the builders was worth it.</v>
      </c>
      <c r="I52" s="2" t="str">
        <f>VLOOKUP(Combined[[#This Row],[Episode number from TVMaze]],Files[],3,FALSE)</f>
        <v>/home/ziga/share/Series/Other/0 Home and Gardening/Grand Designs/Season 05/Grand Designs - S05E05 - Revisited - Hackney - The Terrace Conversion (Revisited from S3 Ep6).avi</v>
      </c>
      <c r="J52" s="2" t="str">
        <f>CHAR(34)&amp;Combined[[#This Row],[Episode number from TVMaze]]&amp;CHAR(34)&amp;": "&amp;CHAR(34)&amp;Combined[[#This Row],[Path]]&amp;CHAR(34)&amp;","</f>
        <v>"S05E05": "/home/ziga/share/Series/Other/0 Home and Gardening/Grand Designs/Season 05/Grand Designs - S05E05 - Revisited - Hackney - The Terrace Conversion (Revisited from S3 Ep6).avi",</v>
      </c>
      <c r="K52" s="2" t="s">
        <v>858</v>
      </c>
      <c r="L52" s="2" t="str">
        <f>CHAR(34)&amp;Combined[[#This Row],[Episode number from TVMaze]]&amp;CHAR(34)&amp;": "&amp;CHAR(34)&amp;Combined[[#This Row],[Correct TVDB episode number for getting image url]]&amp;CHAR(34)&amp;","</f>
        <v>"S05E05": "S03E10",</v>
      </c>
      <c r="M52" s="2" t="b">
        <f>Combined[[#This Row],[Correct TVDB episode number for getting image url]]=Combined[[#This Row],[Episode number from TVMaze]]</f>
        <v>0</v>
      </c>
      <c r="N52" s="2" t="str">
        <f>IF(Combined[[#This Row],[Have file]],IF(LEN(Combined[[#This Row],[Correct TVDB episode number for getting image url]])=0,"Find correct episode number for TheTVDB",""),"Find episode on the internet")</f>
        <v/>
      </c>
    </row>
    <row r="53" spans="1:14" x14ac:dyDescent="0.25">
      <c r="A53" t="str">
        <f>TVMaze[[#This Row],[Episode number]]</f>
        <v>S05E06</v>
      </c>
      <c r="B53" t="b">
        <f>IF(ISNUMBER(MATCH(Combined[Episode number from TVMaze],Files[Episode number],0)),TRUE,FALSE)</f>
        <v>0</v>
      </c>
      <c r="C53" t="str">
        <f>TVMaze[[#This Row],[Name]]</f>
        <v>Revisited - Lambeth: The Violin Factory (Revisited from S4 Ep1)</v>
      </c>
      <c r="D53" t="str">
        <f>VLOOKUP(Combined[[#This Row],[Episode number from TVMaze]],TVDB[],2,FALSE)</f>
        <v>Devon: Miami Style Beach House</v>
      </c>
      <c r="E53" s="2" t="b">
        <f>_xlfn.IFNA(Combined[[#This Row],[Name from TVMaze]]=Combined[[#This Row],[Name from TVDB]],FALSE)</f>
        <v>0</v>
      </c>
      <c r="F53" s="2"/>
      <c r="G53" s="3">
        <f>VLOOKUP(Combined[[#This Row],[Episode number from TVMaze]],TVMazePython[],3,FALSE)</f>
        <v>38638</v>
      </c>
      <c r="H53" s="2" t="str">
        <f>VLOOKUP(Combined[[#This Row],[Episode number from TVMaze]],TVMazePython[],4,FALSE)</f>
        <v>An update on Louise and Milko Ostendorf, who embarked on a project to convert an old violin factory in London into a luxury home. The work was threatened by a battle with their orchestral neighbours over a jointly owned wall, and Kevin McCloud returns three years later to find out whether their dispute has been settled.</v>
      </c>
      <c r="I53" s="2" t="e">
        <f>VLOOKUP(Combined[[#This Row],[Episode number from TVMaze]],Files[],3,FALSE)</f>
        <v>#N/A</v>
      </c>
      <c r="J53" s="2" t="e">
        <f>CHAR(34)&amp;Combined[[#This Row],[Episode number from TVMaze]]&amp;CHAR(34)&amp;": "&amp;CHAR(34)&amp;Combined[[#This Row],[Path]]&amp;CHAR(34)&amp;","</f>
        <v>#N/A</v>
      </c>
      <c r="K53" s="2" t="s">
        <v>872</v>
      </c>
      <c r="L53" s="2" t="str">
        <f>CHAR(34)&amp;Combined[[#This Row],[Episode number from TVMaze]]&amp;CHAR(34)&amp;": "&amp;CHAR(34)&amp;Combined[[#This Row],[Correct TVDB episode number for getting image url]]&amp;CHAR(34)&amp;","</f>
        <v>"S05E06": "S04E09",</v>
      </c>
      <c r="M53" s="2" t="b">
        <f>Combined[[#This Row],[Correct TVDB episode number for getting image url]]=Combined[[#This Row],[Episode number from TVMaze]]</f>
        <v>0</v>
      </c>
      <c r="N53" s="2" t="str">
        <f>IF(Combined[[#This Row],[Have file]],IF(LEN(Combined[[#This Row],[Correct TVDB episode number for getting image url]])=0,"Find correct episode number for TheTVDB",""),"Find episode on the internet")</f>
        <v>Find episode on the internet</v>
      </c>
    </row>
    <row r="54" spans="1:14" x14ac:dyDescent="0.25">
      <c r="A54" t="str">
        <f>TVMaze[[#This Row],[Episode number]]</f>
        <v>S05E07</v>
      </c>
      <c r="B54" t="b">
        <f>IF(ISNUMBER(MATCH(Combined[Episode number from TVMaze],Files[Episode number],0)),TRUE,FALSE)</f>
        <v>1</v>
      </c>
      <c r="C54" t="str">
        <f>TVMaze[[#This Row],[Name]]</f>
        <v>Shaldon: Shaped Like a Curvy Seashell</v>
      </c>
      <c r="D54" t="str">
        <f>VLOOKUP(Combined[[#This Row],[Episode number from TVMaze]],TVDB[],2,FALSE)</f>
        <v>Carmarthen: The Eco-House</v>
      </c>
      <c r="E54" s="2" t="b">
        <f>_xlfn.IFNA(Combined[[#This Row],[Name from TVMaze]]=Combined[[#This Row],[Name from TVDB]],FALSE)</f>
        <v>0</v>
      </c>
      <c r="F54" s="2"/>
      <c r="G54" s="3">
        <f>VLOOKUP(Combined[[#This Row],[Episode number from TVMaze]],TVMazePython[],3,FALSE)</f>
        <v>38644</v>
      </c>
      <c r="H54" s="2" t="str">
        <f>VLOOKUP(Combined[[#This Row],[Episode number from TVMaze]],TVMazePython[],4,FALSE)</f>
        <v>For the last 20 years, Pat Becker has been living in a large Georgian family house overlooking the sea in Devon. Now that her family have flown the nest and the house has grown too big for her, she's decided to build a new home at the bottom of the garden. Shaped like a curvy seashell, the new house has concrete and polystyrene walls, which spiral down from the central staircase. Her architect has promised it will take only six months to build but constructing a round house is never straightforward!</v>
      </c>
      <c r="I54" s="2" t="str">
        <f>VLOOKUP(Combined[[#This Row],[Episode number from TVMaze]],Files[],3,FALSE)</f>
        <v>/home/ziga/share/Series/Other/0 Home and Gardening/Grand Designs/Season 05/Grand Designs - S05E07 - Shaldon - Shaped Like a Curvy Seashell.avi</v>
      </c>
      <c r="J54" s="2" t="str">
        <f>CHAR(34)&amp;Combined[[#This Row],[Episode number from TVMaze]]&amp;CHAR(34)&amp;": "&amp;CHAR(34)&amp;Combined[[#This Row],[Path]]&amp;CHAR(34)&amp;","</f>
        <v>"S05E07": "/home/ziga/share/Series/Other/0 Home and Gardening/Grand Designs/Season 05/Grand Designs - S05E07 - Shaldon - Shaped Like a Curvy Seashell.avi",</v>
      </c>
      <c r="K54" s="2" t="s">
        <v>879</v>
      </c>
      <c r="L54" s="2" t="str">
        <f>CHAR(34)&amp;Combined[[#This Row],[Episode number from TVMaze]]&amp;CHAR(34)&amp;": "&amp;CHAR(34)&amp;Combined[[#This Row],[Correct TVDB episode number for getting image url]]&amp;CHAR(34)&amp;","</f>
        <v>"S05E07": "S05E04",</v>
      </c>
      <c r="M54" s="2" t="b">
        <f>Combined[[#This Row],[Correct TVDB episode number for getting image url]]=Combined[[#This Row],[Episode number from TVMaze]]</f>
        <v>0</v>
      </c>
      <c r="N54" s="2" t="str">
        <f>IF(Combined[[#This Row],[Have file]],IF(LEN(Combined[[#This Row],[Correct TVDB episode number for getting image url]])=0,"Find correct episode number for TheTVDB",""),"Find episode on the internet")</f>
        <v/>
      </c>
    </row>
    <row r="55" spans="1:14" x14ac:dyDescent="0.25">
      <c r="A55" t="str">
        <f>TVMaze[[#This Row],[Episode number]]</f>
        <v>S05E08</v>
      </c>
      <c r="B55" t="b">
        <f>IF(ISNUMBER(MATCH(Combined[Episode number from TVMaze],Files[Episode number],0)),TRUE,FALSE)</f>
        <v>0</v>
      </c>
      <c r="C55" t="str">
        <f>TVMaze[[#This Row],[Name]]</f>
        <v>Revisited - Sussex: The Woodsmans Cottage (Revisited from S3 Ep3)</v>
      </c>
      <c r="D55" t="str">
        <f>VLOOKUP(Combined[[#This Row],[Episode number from TVMaze]],TVDB[],2,FALSE)</f>
        <v>Revisited - Carmarthen: The Eco-House</v>
      </c>
      <c r="E55" s="2" t="b">
        <f>_xlfn.IFNA(Combined[[#This Row],[Name from TVMaze]]=Combined[[#This Row],[Name from TVDB]],FALSE)</f>
        <v>0</v>
      </c>
      <c r="F55" s="2"/>
      <c r="G55" s="3">
        <f>VLOOKUP(Combined[[#This Row],[Episode number from TVMaze]],TVMazePython[],3,FALSE)</f>
        <v>38651</v>
      </c>
      <c r="H55" s="2" t="str">
        <f>VLOOKUP(Combined[[#This Row],[Episode number from TVMaze]],TVMazePython[],4,FALSE)</f>
        <v>Kevin McCloud returns to West Sussex to see how Ben Law's woodsman's cottage has changed. The house was built on a low budget, using methods dating back to the early medieval period with raw materials from the surrounding countryside. During the past 18 months the upstairs has been completed and the outside has been landscaped. Kevin also discovers how the property has changed Ben's life since the original programme was broadcast.</v>
      </c>
      <c r="I55" s="2" t="e">
        <f>VLOOKUP(Combined[[#This Row],[Episode number from TVMaze]],Files[],3,FALSE)</f>
        <v>#N/A</v>
      </c>
      <c r="J55" s="2" t="e">
        <f>CHAR(34)&amp;Combined[[#This Row],[Episode number from TVMaze]]&amp;CHAR(34)&amp;": "&amp;CHAR(34)&amp;Combined[[#This Row],[Path]]&amp;CHAR(34)&amp;","</f>
        <v>#N/A</v>
      </c>
      <c r="K55" s="2" t="s">
        <v>859</v>
      </c>
      <c r="L55" s="2" t="str">
        <f>CHAR(34)&amp;Combined[[#This Row],[Episode number from TVMaze]]&amp;CHAR(34)&amp;": "&amp;CHAR(34)&amp;Combined[[#This Row],[Correct TVDB episode number for getting image url]]&amp;CHAR(34)&amp;","</f>
        <v>"S05E08": "S03E11",</v>
      </c>
      <c r="M55" s="2" t="b">
        <f>Combined[[#This Row],[Correct TVDB episode number for getting image url]]=Combined[[#This Row],[Episode number from TVMaze]]</f>
        <v>0</v>
      </c>
      <c r="N55" s="2" t="str">
        <f>IF(Combined[[#This Row],[Have file]],IF(LEN(Combined[[#This Row],[Correct TVDB episode number for getting image url]])=0,"Find correct episode number for TheTVDB",""),"Find episode on the internet")</f>
        <v>Find episode on the internet</v>
      </c>
    </row>
    <row r="56" spans="1:14" x14ac:dyDescent="0.25">
      <c r="A56" t="str">
        <f>TVMaze[[#This Row],[Episode number]]</f>
        <v>S05E09</v>
      </c>
      <c r="B56" t="b">
        <f>IF(ISNUMBER(MATCH(Combined[Episode number from TVMaze],Files[Episode number],0)),TRUE,FALSE)</f>
        <v>1</v>
      </c>
      <c r="C56" t="str">
        <f>TVMaze[[#This Row],[Name]]</f>
        <v>Belfast: A 21st Century Answer to the Roman Villa</v>
      </c>
      <c r="D56" t="str">
        <f>VLOOKUP(Combined[[#This Row],[Episode number from TVMaze]],TVDB[],2,FALSE)</f>
        <v>Revisited - Peckham: The Sliding Glass Roof House</v>
      </c>
      <c r="E56" s="2" t="b">
        <f>_xlfn.IFNA(Combined[[#This Row],[Name from TVMaze]]=Combined[[#This Row],[Name from TVDB]],FALSE)</f>
        <v>0</v>
      </c>
      <c r="F56" s="2"/>
      <c r="G56" s="3">
        <f>VLOOKUP(Combined[[#This Row],[Episode number from TVMaze]],TVMazePython[],3,FALSE)</f>
        <v>38658</v>
      </c>
      <c r="H56" s="2" t="str">
        <f>VLOOKUP(Combined[[#This Row],[Episode number from TVMaze]],TVMazePython[],4,FALSE)</f>
        <v>This is Belfast, one of the great cities of the industrial revolution, and home to Thomas and Dervla O'Hare. They've lived here for 18 years, and although they still love their tiny cottage for its compactness, they're about to build something much, much bigger. They're building a 21st century answer to the Roman villa, with a copper roof, glass and concrete walls and vast amounts of living space all arranged around a central courtyard. In order to cope with the incredibly steep slope the house was divided across three levels. At the base of the building there is a garage and all the utilities. Through the front door a double-width processional staircase leads up to the living and dining areas.</v>
      </c>
      <c r="I56" s="2" t="str">
        <f>VLOOKUP(Combined[[#This Row],[Episode number from TVMaze]],Files[],3,FALSE)</f>
        <v>/home/ziga/share/Series/Other/0 Home and Gardening/Grand Designs/Season 05/Grand Designs - S05E09 - Belfast - A 21st Century Answer to the Roman Villa.avi</v>
      </c>
      <c r="J56" s="2" t="str">
        <f>CHAR(34)&amp;Combined[[#This Row],[Episode number from TVMaze]]&amp;CHAR(34)&amp;": "&amp;CHAR(34)&amp;Combined[[#This Row],[Path]]&amp;CHAR(34)&amp;","</f>
        <v>"S05E09": "/home/ziga/share/Series/Other/0 Home and Gardening/Grand Designs/Season 05/Grand Designs - S05E09 - Belfast - A 21st Century Answer to the Roman Villa.avi",</v>
      </c>
      <c r="K56" s="2" t="s">
        <v>880</v>
      </c>
      <c r="L56" s="2" t="str">
        <f>CHAR(34)&amp;Combined[[#This Row],[Episode number from TVMaze]]&amp;CHAR(34)&amp;": "&amp;CHAR(34)&amp;Combined[[#This Row],[Correct TVDB episode number for getting image url]]&amp;CHAR(34)&amp;","</f>
        <v>"S05E09": "S05E05",</v>
      </c>
      <c r="M56" s="2" t="b">
        <f>Combined[[#This Row],[Correct TVDB episode number for getting image url]]=Combined[[#This Row],[Episode number from TVMaze]]</f>
        <v>0</v>
      </c>
      <c r="N56" s="2" t="str">
        <f>IF(Combined[[#This Row],[Have file]],IF(LEN(Combined[[#This Row],[Correct TVDB episode number for getting image url]])=0,"Find correct episode number for TheTVDB",""),"Find episode on the internet")</f>
        <v/>
      </c>
    </row>
    <row r="57" spans="1:14" x14ac:dyDescent="0.25">
      <c r="A57" t="str">
        <f>TVMaze[[#This Row],[Episode number]]</f>
        <v>S05E10</v>
      </c>
      <c r="B57" t="b">
        <f>IF(ISNUMBER(MATCH(Combined[Episode number from TVMaze],Files[Episode number],0)),TRUE,FALSE)</f>
        <v>1</v>
      </c>
      <c r="C57" t="str">
        <f>TVMaze[[#This Row],[Name]]</f>
        <v>Devon: The Miami-Style Beach House</v>
      </c>
      <c r="D57" t="str">
        <f>VLOOKUP(Combined[[#This Row],[Episode number from TVMaze]],TVDB[],2,FALSE)</f>
        <v>Revisited - Belfast: A 21st Century Answer to the Roman Villa</v>
      </c>
      <c r="E57" s="2" t="b">
        <f>_xlfn.IFNA(Combined[[#This Row],[Name from TVMaze]]=Combined[[#This Row],[Name from TVDB]],FALSE)</f>
        <v>0</v>
      </c>
      <c r="F57" s="2"/>
      <c r="G57" s="3">
        <f>VLOOKUP(Combined[[#This Row],[Episode number from TVMaze]],TVMazePython[],3,FALSE)</f>
        <v>38665</v>
      </c>
      <c r="H57" s="2" t="str">
        <f>VLOOKUP(Combined[[#This Row],[Episode number from TVMaze]],TVMazePython[],4,FALSE)</f>
        <v>Kevin McCloud meets Julie and Mark Veysey, whose Grand Design is a stunning Miami-style beach house on a beachfront plot overlooking the south Devon coast. Julie and Mark have had several holidays in Miami, and Julie wanted to recreate the outdoor beachfront lifestyle back in England, living in a house full of light and sun, within easy reach of the waves. The house is very much Julie's vision and she is passionate about the design. It is a series of dazzling white interlocking boxes topped with a flat zinc roof.</v>
      </c>
      <c r="I57" s="2" t="str">
        <f>VLOOKUP(Combined[[#This Row],[Episode number from TVMaze]],Files[],3,FALSE)</f>
        <v>/home/ziga/share/Series/Other/0 Home and Gardening/Grand Designs/Season 05/Grand Designs - S05E10 - Devon - The Miami-Style Beach House.avi</v>
      </c>
      <c r="J57" s="2" t="str">
        <f>CHAR(34)&amp;Combined[[#This Row],[Episode number from TVMaze]]&amp;CHAR(34)&amp;": "&amp;CHAR(34)&amp;Combined[[#This Row],[Path]]&amp;CHAR(34)&amp;","</f>
        <v>"S05E10": "/home/ziga/share/Series/Other/0 Home and Gardening/Grand Designs/Season 05/Grand Designs - S05E10 - Devon - The Miami-Style Beach House.avi",</v>
      </c>
      <c r="K57" s="2" t="s">
        <v>881</v>
      </c>
      <c r="L57" s="2" t="str">
        <f>CHAR(34)&amp;Combined[[#This Row],[Episode number from TVMaze]]&amp;CHAR(34)&amp;": "&amp;CHAR(34)&amp;Combined[[#This Row],[Correct TVDB episode number for getting image url]]&amp;CHAR(34)&amp;","</f>
        <v>"S05E10": "S05E06",</v>
      </c>
      <c r="M57" s="2" t="b">
        <f>Combined[[#This Row],[Correct TVDB episode number for getting image url]]=Combined[[#This Row],[Episode number from TVMaze]]</f>
        <v>0</v>
      </c>
      <c r="N57" s="2" t="str">
        <f>IF(Combined[[#This Row],[Have file]],IF(LEN(Combined[[#This Row],[Correct TVDB episode number for getting image url]])=0,"Find correct episode number for TheTVDB",""),"Find episode on the internet")</f>
        <v/>
      </c>
    </row>
    <row r="58" spans="1:14" x14ac:dyDescent="0.25">
      <c r="A58" t="str">
        <f>TVMaze[[#This Row],[Episode number]]</f>
        <v>S05E11</v>
      </c>
      <c r="B58" t="b">
        <f>IF(ISNUMBER(MATCH(Combined[Episode number from TVMaze],Files[Episode number],0)),TRUE,FALSE)</f>
        <v>1</v>
      </c>
      <c r="C58" t="str">
        <f>TVMaze[[#This Row],[Name]]</f>
        <v>Carmarthen: The Eco-House</v>
      </c>
      <c r="D58" t="e">
        <f>VLOOKUP(Combined[[#This Row],[Episode number from TVMaze]],TVDB[],2,FALSE)</f>
        <v>#N/A</v>
      </c>
      <c r="E58" s="2" t="b">
        <f>_xlfn.IFNA(Combined[[#This Row],[Name from TVMaze]]=Combined[[#This Row],[Name from TVDB]],FALSE)</f>
        <v>0</v>
      </c>
      <c r="F58" s="2"/>
      <c r="G58" s="3">
        <f>VLOOKUP(Combined[[#This Row],[Episode number from TVMaze]],TVMazePython[],3,FALSE)</f>
        <v>38672</v>
      </c>
      <c r="H58" s="2" t="str">
        <f>VLOOKUP(Combined[[#This Row],[Episode number from TVMaze]],TVMazePython[],4,FALSE)</f>
        <v>Andrew and Lowri Davies embark on a project to build an environmentally friendly farmhouse in rural Wales. Encouraged by their architect, they opt for some state-of-the-art experimental building materials, but do their builders know how to use them? As the budget spirals out of control, they find it increasingly difficult to balance the budget with their desire for a sustainable home.</v>
      </c>
      <c r="I58" s="2" t="str">
        <f>VLOOKUP(Combined[[#This Row],[Episode number from TVMaze]],Files[],3,FALSE)</f>
        <v>/home/ziga/share/Series/Other/0 Home and Gardening/Grand Designs/Season 05/Grand Designs - S05E11 - Carmarthen - The Eco-House.avi</v>
      </c>
      <c r="J58" s="2" t="str">
        <f>CHAR(34)&amp;Combined[[#This Row],[Episode number from TVMaze]]&amp;CHAR(34)&amp;": "&amp;CHAR(34)&amp;Combined[[#This Row],[Path]]&amp;CHAR(34)&amp;","</f>
        <v>"S05E11": "/home/ziga/share/Series/Other/0 Home and Gardening/Grand Designs/Season 05/Grand Designs - S05E11 - Carmarthen - The Eco-House.avi",</v>
      </c>
      <c r="K58" s="2" t="s">
        <v>882</v>
      </c>
      <c r="L58" s="2" t="str">
        <f>CHAR(34)&amp;Combined[[#This Row],[Episode number from TVMaze]]&amp;CHAR(34)&amp;": "&amp;CHAR(34)&amp;Combined[[#This Row],[Correct TVDB episode number for getting image url]]&amp;CHAR(34)&amp;","</f>
        <v>"S05E11": "S05E07",</v>
      </c>
      <c r="M58" s="2" t="b">
        <f>Combined[[#This Row],[Correct TVDB episode number for getting image url]]=Combined[[#This Row],[Episode number from TVMaze]]</f>
        <v>0</v>
      </c>
      <c r="N58" s="2" t="str">
        <f>IF(Combined[[#This Row],[Have file]],IF(LEN(Combined[[#This Row],[Correct TVDB episode number for getting image url]])=0,"Find correct episode number for TheTVDB",""),"Find episode on the internet")</f>
        <v/>
      </c>
    </row>
    <row r="59" spans="1:14" x14ac:dyDescent="0.25">
      <c r="A59" t="str">
        <f>TVMaze[[#This Row],[Episode number]]</f>
        <v>S06E01</v>
      </c>
      <c r="B59" t="b">
        <f>IF(ISNUMBER(MATCH(Combined[Episode number from TVMaze],Files[Episode number],0)),TRUE,FALSE)</f>
        <v>1</v>
      </c>
      <c r="C59" t="str">
        <f>TVMaze[[#This Row],[Name]]</f>
        <v>Killearn: The Loch House</v>
      </c>
      <c r="D59" t="str">
        <f>VLOOKUP(Combined[[#This Row],[Episode number from TVMaze]],TVDB[],2,FALSE)</f>
        <v>Killearn: The Loch House</v>
      </c>
      <c r="E59" s="2" t="b">
        <f>_xlfn.IFNA(Combined[[#This Row],[Name from TVMaze]]=Combined[[#This Row],[Name from TVDB]],FALSE)</f>
        <v>1</v>
      </c>
      <c r="F59" s="2"/>
      <c r="G59" s="3">
        <f>VLOOKUP(Combined[[#This Row],[Episode number from TVMaze]],TVMazePython[],3,FALSE)</f>
        <v>38812</v>
      </c>
      <c r="H59" s="2" t="str">
        <f>VLOOKUP(Combined[[#This Row],[Episode number from TVMaze]],TVMazePython[],4,FALSE)</f>
        <v>Jim Fairfull considers himself a very lucky guy. He was out fishing with a friend when he came across a beautiful, secluded loch. It's a magical place with stunning views over the nearby hills. He got chatting to the farmer who owned it and discovered the site was for sale. Within a week, he'd done a deal and bought the land. Jim runs a successful wholesale fruit and vegetable company in Glasgow and his wife, Simone, looks after their two girls, aged 11 and eight. Jim and Simone were not intending to self build. But they fell in love with this dramatic location and decided they wanted to live here.</v>
      </c>
      <c r="I59" s="2" t="str">
        <f>VLOOKUP(Combined[[#This Row],[Episode number from TVMaze]],Files[],3,FALSE)</f>
        <v>/home/ziga/share/Series/Other/0 Home and Gardening/Grand Designs/Season 06/Grand Designs - S06E01 - Killearn - The Loch House.avi</v>
      </c>
      <c r="J59" s="2" t="str">
        <f>CHAR(34)&amp;Combined[[#This Row],[Episode number from TVMaze]]&amp;CHAR(34)&amp;": "&amp;CHAR(34)&amp;Combined[[#This Row],[Path]]&amp;CHAR(34)&amp;","</f>
        <v>"S06E01": "/home/ziga/share/Series/Other/0 Home and Gardening/Grand Designs/Season 06/Grand Designs - S06E01 - Killearn - The Loch House.avi",</v>
      </c>
      <c r="K59" s="2" t="str">
        <f>IF(Combined[[#This Row],[Is name same]],Combined[[#This Row],[Episode number from TVMaze]],IF(Combined[[#This Row],[NFO created]]="No need",Combined[[#This Row],[Episode number from TVMaze]],""))</f>
        <v>S06E01</v>
      </c>
      <c r="L59" s="2" t="str">
        <f>CHAR(34)&amp;Combined[[#This Row],[Episode number from TVMaze]]&amp;CHAR(34)&amp;": "&amp;CHAR(34)&amp;Combined[[#This Row],[Correct TVDB episode number for getting image url]]&amp;CHAR(34)&amp;","</f>
        <v>"S06E01": "S06E01",</v>
      </c>
      <c r="M59" s="2" t="b">
        <f>Combined[[#This Row],[Correct TVDB episode number for getting image url]]=Combined[[#This Row],[Episode number from TVMaze]]</f>
        <v>1</v>
      </c>
      <c r="N59" s="2" t="str">
        <f>IF(Combined[[#This Row],[Have file]],IF(LEN(Combined[[#This Row],[Correct TVDB episode number for getting image url]])=0,"Find correct episode number for TheTVDB",""),"Find episode on the internet")</f>
        <v/>
      </c>
    </row>
    <row r="60" spans="1:14" x14ac:dyDescent="0.25">
      <c r="A60" t="str">
        <f>TVMaze[[#This Row],[Episode number]]</f>
        <v>S06E02</v>
      </c>
      <c r="B60" t="b">
        <f>IF(ISNUMBER(MATCH(Combined[Episode number from TVMaze],Files[Episode number],0)),TRUE,FALSE)</f>
        <v>1</v>
      </c>
      <c r="C60" t="str">
        <f>TVMaze[[#This Row],[Name]]</f>
        <v>Ross-on-Wye: The Contemporary Barn Conversion</v>
      </c>
      <c r="D60" t="str">
        <f>VLOOKUP(Combined[[#This Row],[Episode number from TVMaze]],TVDB[],2,FALSE)</f>
        <v>Ross-On-Wye: The Contemporary Barn Conversion</v>
      </c>
      <c r="E60" s="2" t="b">
        <f>_xlfn.IFNA(Combined[[#This Row],[Name from TVMaze]]=Combined[[#This Row],[Name from TVDB]],FALSE)</f>
        <v>1</v>
      </c>
      <c r="F60" s="2"/>
      <c r="G60" s="3">
        <f>VLOOKUP(Combined[[#This Row],[Episode number from TVMaze]],TVMazePython[],3,FALSE)</f>
        <v>38819</v>
      </c>
      <c r="H60" s="2" t="str">
        <f>VLOOKUP(Combined[[#This Row],[Episode number from TVMaze]],TVMazePython[],4,FALSE)</f>
        <v>Robert and Jane Ellis decided to convert an isolated hilltop ruin in the Forest of Dean in Herefordshire. Adding modern steel and glass they created a mouthwatering contemporary structure. They decided to keep as much of the old barn as it is. The new additions are clearly modern and new, with a clear line separating old and new. The old barn was very dark with no real windows and since planners ruled that no additional windows can be added, they had to use as much of available light as they could. The result is a surprisingly bright space, filled with lots of steel, stainless struts, glass and the best of modern furniture, where new and old are sitting in a very easy dialog.</v>
      </c>
      <c r="I60" s="2" t="str">
        <f>VLOOKUP(Combined[[#This Row],[Episode number from TVMaze]],Files[],3,FALSE)</f>
        <v>/home/ziga/share/Series/Other/0 Home and Gardening/Grand Designs/Season 06/Grand Designs - S06E02 - Ross-on-Wye - The Contemporary Barn Conversion.avi</v>
      </c>
      <c r="J60" s="2" t="str">
        <f>CHAR(34)&amp;Combined[[#This Row],[Episode number from TVMaze]]&amp;CHAR(34)&amp;": "&amp;CHAR(34)&amp;Combined[[#This Row],[Path]]&amp;CHAR(34)&amp;","</f>
        <v>"S06E02": "/home/ziga/share/Series/Other/0 Home and Gardening/Grand Designs/Season 06/Grand Designs - S06E02 - Ross-on-Wye - The Contemporary Barn Conversion.avi",</v>
      </c>
      <c r="K60" s="2" t="str">
        <f>IF(Combined[[#This Row],[Is name same]],Combined[[#This Row],[Episode number from TVMaze]],IF(Combined[[#This Row],[NFO created]]="No need",Combined[[#This Row],[Episode number from TVMaze]],""))</f>
        <v>S06E02</v>
      </c>
      <c r="L60" s="2" t="str">
        <f>CHAR(34)&amp;Combined[[#This Row],[Episode number from TVMaze]]&amp;CHAR(34)&amp;": "&amp;CHAR(34)&amp;Combined[[#This Row],[Correct TVDB episode number for getting image url]]&amp;CHAR(34)&amp;","</f>
        <v>"S06E02": "S06E02",</v>
      </c>
      <c r="M60" s="2" t="b">
        <f>Combined[[#This Row],[Correct TVDB episode number for getting image url]]=Combined[[#This Row],[Episode number from TVMaze]]</f>
        <v>1</v>
      </c>
      <c r="N60" s="2" t="str">
        <f>IF(Combined[[#This Row],[Have file]],IF(LEN(Combined[[#This Row],[Correct TVDB episode number for getting image url]])=0,"Find correct episode number for TheTVDB",""),"Find episode on the internet")</f>
        <v/>
      </c>
    </row>
    <row r="61" spans="1:14" x14ac:dyDescent="0.25">
      <c r="A61" t="str">
        <f>TVMaze[[#This Row],[Episode number]]</f>
        <v>S06E03</v>
      </c>
      <c r="B61" t="b">
        <f>IF(ISNUMBER(MATCH(Combined[Episode number from TVMaze],Files[Episode number],0)),TRUE,FALSE)</f>
        <v>1</v>
      </c>
      <c r="C61" t="str">
        <f>TVMaze[[#This Row],[Name]]</f>
        <v>Stirling: The Contemporary Cedar Clad Home</v>
      </c>
      <c r="D61" t="str">
        <f>VLOOKUP(Combined[[#This Row],[Episode number from TVMaze]],TVDB[],2,FALSE)</f>
        <v>Stirling: The Contemporary Cedar Clad Home</v>
      </c>
      <c r="E61" s="2" t="b">
        <f>_xlfn.IFNA(Combined[[#This Row],[Name from TVMaze]]=Combined[[#This Row],[Name from TVDB]],FALSE)</f>
        <v>1</v>
      </c>
      <c r="F61" s="2"/>
      <c r="G61" s="3">
        <f>VLOOKUP(Combined[[#This Row],[Episode number from TVMaze]],TVMazePython[],3,FALSE)</f>
        <v>38826</v>
      </c>
      <c r="H61" s="2" t="str">
        <f>VLOOKUP(Combined[[#This Row],[Episode number from TVMaze]],TVMazePython[],4,FALSE)</f>
        <v>Theo and Elaine Leijser hoped to bring a bit of Dutch style to Scotland in the building of their first family home – a colourful, contemporary three storey house, with a striking cedar clad exterior. The couple stumbled across the perfect plot overlooking the beautiful Campsie Fells near Glasgow, bought it and began to plan their dream build.</v>
      </c>
      <c r="I61" s="2" t="str">
        <f>VLOOKUP(Combined[[#This Row],[Episode number from TVMaze]],Files[],3,FALSE)</f>
        <v>/home/ziga/share/Series/Other/0 Home and Gardening/Grand Designs/Season 06/Grand Designs - S06E03 - Stirling - The Contemporary Cedar Clad Home.avi</v>
      </c>
      <c r="J61" s="2" t="str">
        <f>CHAR(34)&amp;Combined[[#This Row],[Episode number from TVMaze]]&amp;CHAR(34)&amp;": "&amp;CHAR(34)&amp;Combined[[#This Row],[Path]]&amp;CHAR(34)&amp;","</f>
        <v>"S06E03": "/home/ziga/share/Series/Other/0 Home and Gardening/Grand Designs/Season 06/Grand Designs - S06E03 - Stirling - The Contemporary Cedar Clad Home.avi",</v>
      </c>
      <c r="K61" s="2" t="str">
        <f>IF(Combined[[#This Row],[Is name same]],Combined[[#This Row],[Episode number from TVMaze]],IF(Combined[[#This Row],[NFO created]]="No need",Combined[[#This Row],[Episode number from TVMaze]],""))</f>
        <v>S06E03</v>
      </c>
      <c r="L61" s="2" t="str">
        <f>CHAR(34)&amp;Combined[[#This Row],[Episode number from TVMaze]]&amp;CHAR(34)&amp;": "&amp;CHAR(34)&amp;Combined[[#This Row],[Correct TVDB episode number for getting image url]]&amp;CHAR(34)&amp;","</f>
        <v>"S06E03": "S06E03",</v>
      </c>
      <c r="M61" s="2" t="b">
        <f>Combined[[#This Row],[Correct TVDB episode number for getting image url]]=Combined[[#This Row],[Episode number from TVMaze]]</f>
        <v>1</v>
      </c>
      <c r="N61" s="2" t="str">
        <f>IF(Combined[[#This Row],[Have file]],IF(LEN(Combined[[#This Row],[Correct TVDB episode number for getting image url]])=0,"Find correct episode number for TheTVDB",""),"Find episode on the internet")</f>
        <v/>
      </c>
    </row>
    <row r="62" spans="1:14" x14ac:dyDescent="0.25">
      <c r="A62" t="str">
        <f>TVMaze[[#This Row],[Episode number]]</f>
        <v>S06E04</v>
      </c>
      <c r="B62" t="b">
        <f>IF(ISNUMBER(MATCH(Combined[Episode number from TVMaze],Files[Episode number],0)),TRUE,FALSE)</f>
        <v>1</v>
      </c>
      <c r="C62" t="str">
        <f>TVMaze[[#This Row],[Name]]</f>
        <v>Ashford: Water Tower Conversion</v>
      </c>
      <c r="D62" t="str">
        <f>VLOOKUP(Combined[[#This Row],[Episode number from TVMaze]],TVDB[],2,FALSE)</f>
        <v>Ashford: Water Tower Conversion</v>
      </c>
      <c r="E62" s="2" t="b">
        <f>_xlfn.IFNA(Combined[[#This Row],[Name from TVMaze]]=Combined[[#This Row],[Name from TVDB]],FALSE)</f>
        <v>1</v>
      </c>
      <c r="F62" s="2"/>
      <c r="G62" s="3">
        <f>VLOOKUP(Combined[[#This Row],[Episode number from TVMaze]],TVMazePython[],3,FALSE)</f>
        <v>38833</v>
      </c>
      <c r="H62" s="2" t="str">
        <f>VLOOKUP(Combined[[#This Row],[Episode number from TVMaze]],TVMazePython[],4,FALSE)</f>
        <v>For six years Bruno and Denise Del Tufo stared at the large concrete water tower at the bottom of their garden trying to figure out what to do with it. It's a very rare object – a square water tower on stilts designed by architect Edwin Lutyens, who built it to supply the manor house nearby. It's not exactly beautiful but Bruno and Denise feel very protective towards it. When they sold their house, they were worried that someone might knock the tower down, so they decided to try and find a way to live in this huge, concrete monster.</v>
      </c>
      <c r="I62" s="2" t="str">
        <f>VLOOKUP(Combined[[#This Row],[Episode number from TVMaze]],Files[],3,FALSE)</f>
        <v>/home/ziga/share/Series/Other/0 Home and Gardening/Grand Designs/Season 06/Grand Designs - S06E04 - Ashford - Water Tower Conversion.avi</v>
      </c>
      <c r="J62" s="2" t="str">
        <f>CHAR(34)&amp;Combined[[#This Row],[Episode number from TVMaze]]&amp;CHAR(34)&amp;": "&amp;CHAR(34)&amp;Combined[[#This Row],[Path]]&amp;CHAR(34)&amp;","</f>
        <v>"S06E04": "/home/ziga/share/Series/Other/0 Home and Gardening/Grand Designs/Season 06/Grand Designs - S06E04 - Ashford - Water Tower Conversion.avi",</v>
      </c>
      <c r="K62" s="2" t="str">
        <f>IF(Combined[[#This Row],[Is name same]],Combined[[#This Row],[Episode number from TVMaze]],IF(Combined[[#This Row],[NFO created]]="No need",Combined[[#This Row],[Episode number from TVMaze]],""))</f>
        <v>S06E04</v>
      </c>
      <c r="L62" s="2" t="str">
        <f>CHAR(34)&amp;Combined[[#This Row],[Episode number from TVMaze]]&amp;CHAR(34)&amp;": "&amp;CHAR(34)&amp;Combined[[#This Row],[Correct TVDB episode number for getting image url]]&amp;CHAR(34)&amp;","</f>
        <v>"S06E04": "S06E04",</v>
      </c>
      <c r="M62" s="2" t="b">
        <f>Combined[[#This Row],[Correct TVDB episode number for getting image url]]=Combined[[#This Row],[Episode number from TVMaze]]</f>
        <v>1</v>
      </c>
      <c r="N62" s="2" t="str">
        <f>IF(Combined[[#This Row],[Have file]],IF(LEN(Combined[[#This Row],[Correct TVDB episode number for getting image url]])=0,"Find correct episode number for TheTVDB",""),"Find episode on the internet")</f>
        <v/>
      </c>
    </row>
    <row r="63" spans="1:14" x14ac:dyDescent="0.25">
      <c r="A63" t="str">
        <f>TVMaze[[#This Row],[Episode number]]</f>
        <v>S06E05</v>
      </c>
      <c r="B63" t="b">
        <f>IF(ISNUMBER(MATCH(Combined[Episode number from TVMaze],Files[Episode number],0)),TRUE,FALSE)</f>
        <v>0</v>
      </c>
      <c r="C63" t="str">
        <f>TVMaze[[#This Row],[Name]]</f>
        <v>Revisited - Creuse, France: 19th Century Manor House (Revisited from Grand Designs Abroad - 29 September 2004)</v>
      </c>
      <c r="D63" t="str">
        <f>VLOOKUP(Combined[[#This Row],[Episode number from TVMaze]],TVDB[],2,FALSE)</f>
        <v>Exeter: Split Personality House</v>
      </c>
      <c r="E63" s="2" t="b">
        <f>_xlfn.IFNA(Combined[[#This Row],[Name from TVMaze]]=Combined[[#This Row],[Name from TVDB]],FALSE)</f>
        <v>0</v>
      </c>
      <c r="F63" s="2"/>
      <c r="G63" s="3">
        <f>VLOOKUP(Combined[[#This Row],[Episode number from TVMaze]],TVMazePython[],3,FALSE)</f>
        <v>38840</v>
      </c>
      <c r="H63" s="2" t="str">
        <f>VLOOKUP(Combined[[#This Row],[Episode number from TVMaze]],TVMazePython[],4,FALSE)</f>
        <v>Kevin McCloud revisits Denise (Deni) Daniel and Doug Ibbs. The couple, in their mid-50s and from Dorset, bought a 19th-century manor house in Creuse, Limousin – in central France – on a Sunday, having seen it for the first time ever on the previous Tuesday on the Internet and visited it on the Thursday. They don't mind hard work too, which is even better news because the house was a wreck.</v>
      </c>
      <c r="I63" s="2" t="e">
        <f>VLOOKUP(Combined[[#This Row],[Episode number from TVMaze]],Files[],3,FALSE)</f>
        <v>#N/A</v>
      </c>
      <c r="J63" s="2" t="e">
        <f>CHAR(34)&amp;Combined[[#This Row],[Episode number from TVMaze]]&amp;CHAR(34)&amp;": "&amp;CHAR(34)&amp;Combined[[#This Row],[Path]]&amp;CHAR(34)&amp;","</f>
        <v>#N/A</v>
      </c>
      <c r="K63" s="2" t="str">
        <f>IF(Combined[[#This Row],[Is name same]],Combined[[#This Row],[Episode number from TVMaze]],IF(Combined[[#This Row],[NFO created]]="No need",Combined[[#This Row],[Episode number from TVMaze]],""))</f>
        <v/>
      </c>
      <c r="L63" s="2" t="str">
        <f>CHAR(34)&amp;Combined[[#This Row],[Episode number from TVMaze]]&amp;CHAR(34)&amp;": "&amp;CHAR(34)&amp;Combined[[#This Row],[Correct TVDB episode number for getting image url]]&amp;CHAR(34)&amp;","</f>
        <v>"S06E05": "",</v>
      </c>
      <c r="M63" s="2" t="b">
        <f>Combined[[#This Row],[Correct TVDB episode number for getting image url]]=Combined[[#This Row],[Episode number from TVMaze]]</f>
        <v>0</v>
      </c>
      <c r="N63" s="2" t="str">
        <f>IF(Combined[[#This Row],[Have file]],IF(LEN(Combined[[#This Row],[Correct TVDB episode number for getting image url]])=0,"Find correct episode number for TheTVDB",""),"Find episode on the internet")</f>
        <v>Find episode on the internet</v>
      </c>
    </row>
    <row r="64" spans="1:14" x14ac:dyDescent="0.25">
      <c r="A64" t="str">
        <f>TVMaze[[#This Row],[Episode number]]</f>
        <v>S06E06</v>
      </c>
      <c r="B64" t="b">
        <f>IF(ISNUMBER(MATCH(Combined[Episode number from TVMaze],Files[Episode number],0)),TRUE,FALSE)</f>
        <v>0</v>
      </c>
      <c r="C64" t="str">
        <f>TVMaze[[#This Row],[Name]]</f>
        <v>Revisited - Les Gets, France: 300 Year Old Chalet (Revisited from Grand Designs Abroad - 20 October 2004)</v>
      </c>
      <c r="D64" t="str">
        <f>VLOOKUP(Combined[[#This Row],[Episode number from TVMaze]],TVDB[],2,FALSE)</f>
        <v>Revisited - Killearn: Loch House</v>
      </c>
      <c r="E64" s="2" t="b">
        <f>_xlfn.IFNA(Combined[[#This Row],[Name from TVMaze]]=Combined[[#This Row],[Name from TVDB]],FALSE)</f>
        <v>0</v>
      </c>
      <c r="F64" s="2"/>
      <c r="G64" s="3">
        <f>VLOOKUP(Combined[[#This Row],[Episode number from TVMaze]],TVMazePython[],3,FALSE)</f>
        <v>38847</v>
      </c>
      <c r="H64" s="2" t="str">
        <f>VLOOKUP(Combined[[#This Row],[Episode number from TVMaze]],TVMazePython[],4,FALSE)</f>
        <v>Kevin McCloud revisits Nicky and James Dobree. Nicky was raised in France, James in Beirut – both have fond memories of the mountains as children. So it was natural for them to one day look to buy a place amongst France's tallest peaks, the Alps.The journey moving the family, including their two young sons, Fabian and Felix, from South London to a renovated 300-year-old farmhouse in Les Gets was to have its ups and downs. It was never meant to be a permanent move. The original plan was to develop the top two floors of the chalet so the family could spend the summer there, overseeing the completion of the bottom floors. They would then be able to rent our the whole chalet in the winter months. The family were only planning to use their new home for the summer seasons.</v>
      </c>
      <c r="I64" s="2" t="e">
        <f>VLOOKUP(Combined[[#This Row],[Episode number from TVMaze]],Files[],3,FALSE)</f>
        <v>#N/A</v>
      </c>
      <c r="J64" s="2" t="e">
        <f>CHAR(34)&amp;Combined[[#This Row],[Episode number from TVMaze]]&amp;CHAR(34)&amp;": "&amp;CHAR(34)&amp;Combined[[#This Row],[Path]]&amp;CHAR(34)&amp;","</f>
        <v>#N/A</v>
      </c>
      <c r="K64" s="2" t="str">
        <f>IF(Combined[[#This Row],[Is name same]],Combined[[#This Row],[Episode number from TVMaze]],IF(Combined[[#This Row],[NFO created]]="No need",Combined[[#This Row],[Episode number from TVMaze]],""))</f>
        <v/>
      </c>
      <c r="L64" s="2" t="str">
        <f>CHAR(34)&amp;Combined[[#This Row],[Episode number from TVMaze]]&amp;CHAR(34)&amp;": "&amp;CHAR(34)&amp;Combined[[#This Row],[Correct TVDB episode number for getting image url]]&amp;CHAR(34)&amp;","</f>
        <v>"S06E06": "",</v>
      </c>
      <c r="M64" s="2" t="b">
        <f>Combined[[#This Row],[Correct TVDB episode number for getting image url]]=Combined[[#This Row],[Episode number from TVMaze]]</f>
        <v>0</v>
      </c>
      <c r="N64" s="2" t="str">
        <f>IF(Combined[[#This Row],[Have file]],IF(LEN(Combined[[#This Row],[Correct TVDB episode number for getting image url]])=0,"Find correct episode number for TheTVDB",""),"Find episode on the internet")</f>
        <v>Find episode on the internet</v>
      </c>
    </row>
    <row r="65" spans="1:14" x14ac:dyDescent="0.25">
      <c r="A65" t="str">
        <f>TVMaze[[#This Row],[Episode number]]</f>
        <v>S06E07</v>
      </c>
      <c r="B65" t="b">
        <f>IF(ISNUMBER(MATCH(Combined[Episode number from TVMaze],Files[Episode number],0)),TRUE,FALSE)</f>
        <v>1</v>
      </c>
      <c r="C65" t="str">
        <f>TVMaze[[#This Row],[Name]]</f>
        <v>Exeter: Garden House aka "Mies van der Rohe Inspired House</v>
      </c>
      <c r="D65" t="str">
        <f>VLOOKUP(Combined[[#This Row],[Episode number from TVMaze]],TVDB[],2,FALSE)</f>
        <v>Revisited - Ashford: Water Tower Conversion</v>
      </c>
      <c r="E65" s="2" t="b">
        <f>_xlfn.IFNA(Combined[[#This Row],[Name from TVMaze]]=Combined[[#This Row],[Name from TVDB]],FALSE)</f>
        <v>0</v>
      </c>
      <c r="F65" s="2"/>
      <c r="G65" s="3">
        <f>VLOOKUP(Combined[[#This Row],[Episode number from TVMaze]],TVMazePython[],3,FALSE)</f>
        <v>38854</v>
      </c>
      <c r="H65" s="2" t="str">
        <f>VLOOKUP(Combined[[#This Row],[Episode number from TVMaze]],TVMazePython[],4,FALSE)</f>
        <v>Charting the building plans of Peter and Christine Benjamin, who are hoping to construct a small retirement home within a walled garden in the grounds of the Edwardian manor house where they used to live. The proposed property has floor-to-ceiling glass on one side, with a traditional potting shed-style exterior on the other, but Peter's ambition to design as they build causes problems.</v>
      </c>
      <c r="I65" s="2" t="str">
        <f>VLOOKUP(Combined[[#This Row],[Episode number from TVMaze]],Files[],3,FALSE)</f>
        <v>/home/ziga/share/Series/Other/0 Home and Gardening/Grand Designs/Season 06/Grand Designs - S06E07 - Exeter - Garden House aka Mies van der Rohe Inspired House.avi</v>
      </c>
      <c r="J65" s="2" t="str">
        <f>CHAR(34)&amp;Combined[[#This Row],[Episode number from TVMaze]]&amp;CHAR(34)&amp;": "&amp;CHAR(34)&amp;Combined[[#This Row],[Path]]&amp;CHAR(34)&amp;","</f>
        <v>"S06E07": "/home/ziga/share/Series/Other/0 Home and Gardening/Grand Designs/Season 06/Grand Designs - S06E07 - Exeter - Garden House aka Mies van der Rohe Inspired House.avi",</v>
      </c>
      <c r="K65" s="2" t="s">
        <v>890</v>
      </c>
      <c r="L65" s="2" t="str">
        <f>CHAR(34)&amp;Combined[[#This Row],[Episode number from TVMaze]]&amp;CHAR(34)&amp;": "&amp;CHAR(34)&amp;Combined[[#This Row],[Correct TVDB episode number for getting image url]]&amp;CHAR(34)&amp;","</f>
        <v>"S06E07": "S06E05",</v>
      </c>
      <c r="M65" s="2" t="b">
        <f>Combined[[#This Row],[Correct TVDB episode number for getting image url]]=Combined[[#This Row],[Episode number from TVMaze]]</f>
        <v>0</v>
      </c>
      <c r="N65" s="2" t="str">
        <f>IF(Combined[[#This Row],[Have file]],IF(LEN(Combined[[#This Row],[Correct TVDB episode number for getting image url]])=0,"Find correct episode number for TheTVDB",""),"Find episode on the internet")</f>
        <v/>
      </c>
    </row>
    <row r="66" spans="1:14" x14ac:dyDescent="0.25">
      <c r="A66" t="str">
        <f>TVMaze[[#This Row],[Episode number]]</f>
        <v>S06E08</v>
      </c>
      <c r="B66" t="b">
        <f>IF(ISNUMBER(MATCH(Combined[Episode number from TVMaze],Files[Episode number],0)),TRUE,FALSE)</f>
        <v>0</v>
      </c>
      <c r="C66" t="str">
        <f>TVMaze[[#This Row],[Name]]</f>
        <v>Revisited - Clapham: The Curved House (Revisited from S4 Ep5)</v>
      </c>
      <c r="D66" t="e">
        <f>VLOOKUP(Combined[[#This Row],[Episode number from TVMaze]],TVDB[],2,FALSE)</f>
        <v>#N/A</v>
      </c>
      <c r="E66" s="2" t="b">
        <f>_xlfn.IFNA(Combined[[#This Row],[Name from TVMaze]]=Combined[[#This Row],[Name from TVDB]],FALSE)</f>
        <v>0</v>
      </c>
      <c r="F66" s="2"/>
      <c r="G66" s="3">
        <f>VLOOKUP(Combined[[#This Row],[Episode number from TVMaze]],TVMazePython[],3,FALSE)</f>
        <v>38860</v>
      </c>
      <c r="H66" s="2" t="str">
        <f>VLOOKUP(Combined[[#This Row],[Episode number from TVMaze]],TVMazePython[],4,FALSE)</f>
        <v>Kevin McCloud revisits David and Anjana Devoy's who's tiny coach house was proving too small for them and their two children. So they decided to build a new house in their own garden, which was big by London standards. But this particular grassy plot came with problems. It was overlooked by huge blocks of flats, and in the middle of it stood a chestnut tree they weren't allowed to cut down. They came up with an inspired solution: they would build a curving house along the borders of their plot. What's more, they would do a lot of the work themselves.</v>
      </c>
      <c r="I66" s="2" t="e">
        <f>VLOOKUP(Combined[[#This Row],[Episode number from TVMaze]],Files[],3,FALSE)</f>
        <v>#N/A</v>
      </c>
      <c r="J66" s="2" t="e">
        <f>CHAR(34)&amp;Combined[[#This Row],[Episode number from TVMaze]]&amp;CHAR(34)&amp;": "&amp;CHAR(34)&amp;Combined[[#This Row],[Path]]&amp;CHAR(34)&amp;","</f>
        <v>#N/A</v>
      </c>
      <c r="K66" s="2" t="s">
        <v>873</v>
      </c>
      <c r="L66" s="2" t="str">
        <f>CHAR(34)&amp;Combined[[#This Row],[Episode number from TVMaze]]&amp;CHAR(34)&amp;": "&amp;CHAR(34)&amp;Combined[[#This Row],[Correct TVDB episode number for getting image url]]&amp;CHAR(34)&amp;","</f>
        <v>"S06E08": "S04E10",</v>
      </c>
      <c r="M66" s="2" t="b">
        <f>Combined[[#This Row],[Correct TVDB episode number for getting image url]]=Combined[[#This Row],[Episode number from TVMaze]]</f>
        <v>0</v>
      </c>
      <c r="N66" s="2" t="str">
        <f>IF(Combined[[#This Row],[Have file]],IF(LEN(Combined[[#This Row],[Correct TVDB episode number for getting image url]])=0,"Find correct episode number for TheTVDB",""),"Find episode on the internet")</f>
        <v>Find episode on the internet</v>
      </c>
    </row>
    <row r="67" spans="1:14" x14ac:dyDescent="0.25">
      <c r="A67" t="str">
        <f>TVMaze[[#This Row],[Episode number]]</f>
        <v>S07E01</v>
      </c>
      <c r="B67" t="b">
        <f>IF(ISNUMBER(MATCH(Combined[Episode number from TVMaze],Files[Episode number],0)),TRUE,FALSE)</f>
        <v>1</v>
      </c>
      <c r="C67" t="str">
        <f>TVMaze[[#This Row],[Name]]</f>
        <v>Skipton: The 14th Century Castle (90 minutes)</v>
      </c>
      <c r="D67" t="str">
        <f>VLOOKUP(Combined[[#This Row],[Episode number from TVMaze]],TVDB[],2,FALSE)</f>
        <v>Yorkshire: The 14th Century Castle</v>
      </c>
      <c r="E67" s="2" t="b">
        <f>_xlfn.IFNA(Combined[[#This Row],[Name from TVMaze]]=Combined[[#This Row],[Name from TVDB]],FALSE)</f>
        <v>0</v>
      </c>
      <c r="F67" s="2" t="s">
        <v>1316</v>
      </c>
      <c r="G67" s="3">
        <f>VLOOKUP(Combined[[#This Row],[Episode number from TVMaze]],TVMazePython[],3,FALSE)</f>
        <v>39141</v>
      </c>
      <c r="H67" s="2" t="str">
        <f>VLOOKUP(Combined[[#This Row],[Episode number from TVMaze]],TVMazePython[],4,FALSE)</f>
        <v>Every Englishman's home is his castle, but for Francis Shaw this is quite literally true. He and his wife, Karen, and their two young daughters, bought the ruins of a 14th-century castle in North Yorkshire and took on the remarkable challenge of turning a pile of stones into a beautiful home. Surrounded by rolling green fields, the location is idyllic, however, the castle itself was little more than four crumbling walls.</v>
      </c>
      <c r="I67" s="2" t="str">
        <f>VLOOKUP(Combined[[#This Row],[Episode number from TVMaze]],Files[],3,FALSE)</f>
        <v>/home/ziga/share/Series/Other/0 Home and Gardening/Grand Designs/Season 07/Grand Designs - S07E01 - Skipton - The 14th Century Castle (90 minutes).avi</v>
      </c>
      <c r="J67" s="2" t="str">
        <f>CHAR(34)&amp;Combined[[#This Row],[Episode number from TVMaze]]&amp;CHAR(34)&amp;": "&amp;CHAR(34)&amp;Combined[[#This Row],[Path]]&amp;CHAR(34)&amp;","</f>
        <v>"S07E01": "/home/ziga/share/Series/Other/0 Home and Gardening/Grand Designs/Season 07/Grand Designs - S07E01 - Skipton - The 14th Century Castle (90 minutes).avi",</v>
      </c>
      <c r="K67" s="2" t="str">
        <f>IF(Combined[[#This Row],[Is name same]],Combined[[#This Row],[Episode number from TVMaze]],IF(Combined[[#This Row],[NFO created]]="No need",Combined[[#This Row],[Episode number from TVMaze]],""))</f>
        <v>S07E01</v>
      </c>
      <c r="L67" s="2" t="str">
        <f>CHAR(34)&amp;Combined[[#This Row],[Episode number from TVMaze]]&amp;CHAR(34)&amp;": "&amp;CHAR(34)&amp;Combined[[#This Row],[Correct TVDB episode number for getting image url]]&amp;CHAR(34)&amp;","</f>
        <v>"S07E01": "S07E01",</v>
      </c>
      <c r="M67" s="2" t="b">
        <f>Combined[[#This Row],[Correct TVDB episode number for getting image url]]=Combined[[#This Row],[Episode number from TVMaze]]</f>
        <v>1</v>
      </c>
      <c r="N67" s="2" t="str">
        <f>IF(Combined[[#This Row],[Have file]],IF(LEN(Combined[[#This Row],[Correct TVDB episode number for getting image url]])=0,"Find correct episode number for TheTVDB",""),"Find episode on the internet")</f>
        <v/>
      </c>
    </row>
    <row r="68" spans="1:14" x14ac:dyDescent="0.25">
      <c r="A68" t="str">
        <f>TVMaze[[#This Row],[Episode number]]</f>
        <v>S07E02</v>
      </c>
      <c r="B68" t="b">
        <f>IF(ISNUMBER(MATCH(Combined[Episode number from TVMaze],Files[Episode number],0)),TRUE,FALSE)</f>
        <v>1</v>
      </c>
      <c r="C68" t="str">
        <f>TVMaze[[#This Row],[Name]]</f>
        <v>Hampshire: The Thatched Cottage</v>
      </c>
      <c r="D68" t="str">
        <f>VLOOKUP(Combined[[#This Row],[Episode number from TVMaze]],TVDB[],2,FALSE)</f>
        <v>Hampshire: The Thatched Cottage</v>
      </c>
      <c r="E68" s="2" t="b">
        <f>_xlfn.IFNA(Combined[[#This Row],[Name from TVMaze]]=Combined[[#This Row],[Name from TVDB]],FALSE)</f>
        <v>1</v>
      </c>
      <c r="F68" s="2"/>
      <c r="G68" s="3">
        <f>VLOOKUP(Combined[[#This Row],[Episode number from TVMaze]],TVMazePython[],3,FALSE)</f>
        <v>39148</v>
      </c>
      <c r="H68" s="2" t="str">
        <f>VLOOKUP(Combined[[#This Row],[Episode number from TVMaze]],TVMazePython[],4,FALSE)</f>
        <v>Eight years ago Alex and Cheryl Reay left London for a new life in the New Forest. They bought a run down medieval thatched cottage and lovingly brought it back to life. Then just before Christmas, with Cheryl pregnant, disaster struck. A fault in the chimney caused a massive fire which destroyed the entire building. Overnight Alex and Cheryl had lost almost £400,000. Whilst most people would have walked away from this, Alex and Cheryl couldn't let go of their dream. Nine months after the fire, they decided to start all over again and rebuild the cottage, bigger and better than before.</v>
      </c>
      <c r="I68" s="2" t="str">
        <f>VLOOKUP(Combined[[#This Row],[Episode number from TVMaze]],Files[],3,FALSE)</f>
        <v>/home/ziga/share/Series/Other/0 Home and Gardening/Grand Designs/Season 07/Grand Designs - S07E02 - Hampshire - The Thatched Cottage.avi</v>
      </c>
      <c r="J68" s="2" t="str">
        <f>CHAR(34)&amp;Combined[[#This Row],[Episode number from TVMaze]]&amp;CHAR(34)&amp;": "&amp;CHAR(34)&amp;Combined[[#This Row],[Path]]&amp;CHAR(34)&amp;","</f>
        <v>"S07E02": "/home/ziga/share/Series/Other/0 Home and Gardening/Grand Designs/Season 07/Grand Designs - S07E02 - Hampshire - The Thatched Cottage.avi",</v>
      </c>
      <c r="K68" s="2" t="str">
        <f>IF(Combined[[#This Row],[Is name same]],Combined[[#This Row],[Episode number from TVMaze]],IF(Combined[[#This Row],[NFO created]]="No need",Combined[[#This Row],[Episode number from TVMaze]],""))</f>
        <v>S07E02</v>
      </c>
      <c r="L68" s="2" t="str">
        <f>CHAR(34)&amp;Combined[[#This Row],[Episode number from TVMaze]]&amp;CHAR(34)&amp;": "&amp;CHAR(34)&amp;Combined[[#This Row],[Correct TVDB episode number for getting image url]]&amp;CHAR(34)&amp;","</f>
        <v>"S07E02": "S07E02",</v>
      </c>
      <c r="M68" s="2" t="b">
        <f>Combined[[#This Row],[Correct TVDB episode number for getting image url]]=Combined[[#This Row],[Episode number from TVMaze]]</f>
        <v>1</v>
      </c>
      <c r="N68" s="2" t="str">
        <f>IF(Combined[[#This Row],[Have file]],IF(LEN(Combined[[#This Row],[Correct TVDB episode number for getting image url]])=0,"Find correct episode number for TheTVDB",""),"Find episode on the internet")</f>
        <v/>
      </c>
    </row>
    <row r="69" spans="1:14" x14ac:dyDescent="0.25">
      <c r="A69" t="str">
        <f>TVMaze[[#This Row],[Episode number]]</f>
        <v>S07E03</v>
      </c>
      <c r="B69" t="b">
        <f>IF(ISNUMBER(MATCH(Combined[Episode number from TVMaze],Files[Episode number],0)),TRUE,FALSE)</f>
        <v>1</v>
      </c>
      <c r="C69" t="str">
        <f>TVMaze[[#This Row],[Name]]</f>
        <v>Medway: The Eco-Barge</v>
      </c>
      <c r="D69" t="str">
        <f>VLOOKUP(Combined[[#This Row],[Episode number from TVMaze]],TVDB[],2,FALSE)</f>
        <v>Medway: The Eco-Barge</v>
      </c>
      <c r="E69" s="2" t="b">
        <f>_xlfn.IFNA(Combined[[#This Row],[Name from TVMaze]]=Combined[[#This Row],[Name from TVDB]],FALSE)</f>
        <v>1</v>
      </c>
      <c r="F69" s="2"/>
      <c r="G69" s="3">
        <f>VLOOKUP(Combined[[#This Row],[Episode number from TVMaze]],TVMazePython[],3,FALSE)</f>
        <v>39155</v>
      </c>
      <c r="H69" s="2" t="str">
        <f>VLOOKUP(Combined[[#This Row],[Episode number from TVMaze]],TVMazePython[],4,FALSE)</f>
        <v>Chris Miller and his wife Sze Liu Lai lived in a tiny flat in East London with their two children Alexion and Tayszea. It was very tight for space and as the kids grew they really felt in need of more room. Chris and Sze are both social workers on low incomes and they have very little in the way of savings. They did however own a small narrow boat, which inspired a solution to their 'no money, no space' dilemma. They decided to build a houseboat which would give them more space for a fraction of the price of a home on land. They began with an 86ft steel barge moored in a boatyard on the River Medway...</v>
      </c>
      <c r="I69" s="2" t="str">
        <f>VLOOKUP(Combined[[#This Row],[Episode number from TVMaze]],Files[],3,FALSE)</f>
        <v>/home/ziga/share/Series/Other/0 Home and Gardening/Grand Designs/Season 07/Grand Designs - S07E03 - Medway - The Eco-Barge.avi</v>
      </c>
      <c r="J69" s="2" t="str">
        <f>CHAR(34)&amp;Combined[[#This Row],[Episode number from TVMaze]]&amp;CHAR(34)&amp;": "&amp;CHAR(34)&amp;Combined[[#This Row],[Path]]&amp;CHAR(34)&amp;","</f>
        <v>"S07E03": "/home/ziga/share/Series/Other/0 Home and Gardening/Grand Designs/Season 07/Grand Designs - S07E03 - Medway - The Eco-Barge.avi",</v>
      </c>
      <c r="K69" s="2" t="str">
        <f>IF(Combined[[#This Row],[Is name same]],Combined[[#This Row],[Episode number from TVMaze]],IF(Combined[[#This Row],[NFO created]]="No need",Combined[[#This Row],[Episode number from TVMaze]],""))</f>
        <v>S07E03</v>
      </c>
      <c r="L69" s="2" t="str">
        <f>CHAR(34)&amp;Combined[[#This Row],[Episode number from TVMaze]]&amp;CHAR(34)&amp;": "&amp;CHAR(34)&amp;Combined[[#This Row],[Correct TVDB episode number for getting image url]]&amp;CHAR(34)&amp;","</f>
        <v>"S07E03": "S07E03",</v>
      </c>
      <c r="M69" s="2" t="b">
        <f>Combined[[#This Row],[Correct TVDB episode number for getting image url]]=Combined[[#This Row],[Episode number from TVMaze]]</f>
        <v>1</v>
      </c>
      <c r="N69" s="2" t="str">
        <f>IF(Combined[[#This Row],[Have file]],IF(LEN(Combined[[#This Row],[Correct TVDB episode number for getting image url]])=0,"Find correct episode number for TheTVDB",""),"Find episode on the internet")</f>
        <v/>
      </c>
    </row>
    <row r="70" spans="1:14" x14ac:dyDescent="0.25">
      <c r="A70" t="str">
        <f>TVMaze[[#This Row],[Episode number]]</f>
        <v>S07E04</v>
      </c>
      <c r="B70" t="b">
        <f>IF(ISNUMBER(MATCH(Combined[Episode number from TVMaze],Files[Episode number],0)),TRUE,FALSE)</f>
        <v>1</v>
      </c>
      <c r="C70" t="str">
        <f>TVMaze[[#This Row],[Name]]</f>
        <v>Bournemouth: The Bournemouth Penthouse</v>
      </c>
      <c r="D70" t="str">
        <f>VLOOKUP(Combined[[#This Row],[Episode number from TVMaze]],TVDB[],2,FALSE)</f>
        <v>Bournemouth: The Bournemouth Penthouse</v>
      </c>
      <c r="E70" s="2" t="b">
        <f>_xlfn.IFNA(Combined[[#This Row],[Name from TVMaze]]=Combined[[#This Row],[Name from TVDB]],FALSE)</f>
        <v>1</v>
      </c>
      <c r="F70" s="2"/>
      <c r="G70" s="3">
        <f>VLOOKUP(Combined[[#This Row],[Episode number from TVMaze]],TVMazePython[],3,FALSE)</f>
        <v>39162</v>
      </c>
      <c r="H70" s="2" t="str">
        <f>VLOOKUP(Combined[[#This Row],[Episode number from TVMaze]],TVMazePython[],4,FALSE)</f>
        <v>James and Katrin Gray live in Bournemouth on the south coast. James runs his own book distribution business and Katrin works for an investment bank. They used to live in an apartment on the second floor of a former Victorian hotel. But three years ago, James bought the top floor flat. It was originally built as a solarium for the hotel in the 1920s where holiday-makers could soak up the sun. Now James and Katrin plan to convert it into a modern, luxury penthouse. The first project was to build a large rooftop extension which became the main living area of the new penthouse. This steel frame structure was cleverly knitted between all the obstructions on the roof and leads out onto a fabulous roof top terrace with exclusive views along the coast.</v>
      </c>
      <c r="I70" s="2" t="str">
        <f>VLOOKUP(Combined[[#This Row],[Episode number from TVMaze]],Files[],3,FALSE)</f>
        <v>/home/ziga/share/Series/Other/0 Home and Gardening/Grand Designs/Season 07/Grand Designs - S07E04 - Bournemouth - The Bournemouth Penthouse.avi</v>
      </c>
      <c r="J70" s="2" t="str">
        <f>CHAR(34)&amp;Combined[[#This Row],[Episode number from TVMaze]]&amp;CHAR(34)&amp;": "&amp;CHAR(34)&amp;Combined[[#This Row],[Path]]&amp;CHAR(34)&amp;","</f>
        <v>"S07E04": "/home/ziga/share/Series/Other/0 Home and Gardening/Grand Designs/Season 07/Grand Designs - S07E04 - Bournemouth - The Bournemouth Penthouse.avi",</v>
      </c>
      <c r="K70" s="2" t="str">
        <f>IF(Combined[[#This Row],[Is name same]],Combined[[#This Row],[Episode number from TVMaze]],IF(Combined[[#This Row],[NFO created]]="No need",Combined[[#This Row],[Episode number from TVMaze]],""))</f>
        <v>S07E04</v>
      </c>
      <c r="L70" s="2" t="str">
        <f>CHAR(34)&amp;Combined[[#This Row],[Episode number from TVMaze]]&amp;CHAR(34)&amp;": "&amp;CHAR(34)&amp;Combined[[#This Row],[Correct TVDB episode number for getting image url]]&amp;CHAR(34)&amp;","</f>
        <v>"S07E04": "S07E04",</v>
      </c>
      <c r="M70" s="2" t="b">
        <f>Combined[[#This Row],[Correct TVDB episode number for getting image url]]=Combined[[#This Row],[Episode number from TVMaze]]</f>
        <v>1</v>
      </c>
      <c r="N70" s="2" t="str">
        <f>IF(Combined[[#This Row],[Have file]],IF(LEN(Combined[[#This Row],[Correct TVDB episode number for getting image url]])=0,"Find correct episode number for TheTVDB",""),"Find episode on the internet")</f>
        <v/>
      </c>
    </row>
    <row r="71" spans="1:14" x14ac:dyDescent="0.25">
      <c r="A71" t="str">
        <f>TVMaze[[#This Row],[Episode number]]</f>
        <v>S07E05</v>
      </c>
      <c r="B71" t="b">
        <f>IF(ISNUMBER(MATCH(Combined[Episode number from TVMaze],Files[Episode number],0)),TRUE,FALSE)</f>
        <v>1</v>
      </c>
      <c r="C71" t="str">
        <f>TVMaze[[#This Row],[Name]]</f>
        <v>Revisited - Carmarthen: The Eco-House (Revisited from S5 Ep11)</v>
      </c>
      <c r="D71" t="str">
        <f>VLOOKUP(Combined[[#This Row],[Episode number from TVMaze]],TVDB[],2,FALSE)</f>
        <v>Birmingham: The Birmingham Church</v>
      </c>
      <c r="E71" s="2" t="b">
        <f>_xlfn.IFNA(Combined[[#This Row],[Name from TVMaze]]=Combined[[#This Row],[Name from TVDB]],FALSE)</f>
        <v>0</v>
      </c>
      <c r="F71" s="2"/>
      <c r="G71" s="3">
        <f>VLOOKUP(Combined[[#This Row],[Episode number from TVMaze]],TVMazePython[],3,FALSE)</f>
        <v>39169</v>
      </c>
      <c r="H71" s="2" t="str">
        <f>VLOOKUP(Combined[[#This Row],[Episode number from TVMaze]],TVMazePython[],4,FALSE)</f>
        <v>Kevin McCloud returns to rural Wales to visit Andrew and Lowri Davies, who dreamt of replacing their cramped cottage with an environmentally friendly farmhouse built using state-of-the-art eco materials. The couple needed to reduce their mortgage and work to a strict budget - but after an argument with the architect, they found it increasingly difficult to balance the books.</v>
      </c>
      <c r="I71" s="2" t="str">
        <f>VLOOKUP(Combined[[#This Row],[Episode number from TVMaze]],Files[],3,FALSE)</f>
        <v>/home/ziga/share/Series/Other/0 Home and Gardening/Grand Designs/Season 07/Grand Designs - S07E05 - Revisited - Carmarthen - The Eco-House (Revisited from S5 Ep11).avi</v>
      </c>
      <c r="J71" s="2" t="str">
        <f>CHAR(34)&amp;Combined[[#This Row],[Episode number from TVMaze]]&amp;CHAR(34)&amp;": "&amp;CHAR(34)&amp;Combined[[#This Row],[Path]]&amp;CHAR(34)&amp;","</f>
        <v>"S07E05": "/home/ziga/share/Series/Other/0 Home and Gardening/Grand Designs/Season 07/Grand Designs - S07E05 - Revisited - Carmarthen - The Eco-House (Revisited from S5 Ep11).avi",</v>
      </c>
      <c r="K71" s="2" t="s">
        <v>883</v>
      </c>
      <c r="L71" s="2" t="str">
        <f>CHAR(34)&amp;Combined[[#This Row],[Episode number from TVMaze]]&amp;CHAR(34)&amp;": "&amp;CHAR(34)&amp;Combined[[#This Row],[Correct TVDB episode number for getting image url]]&amp;CHAR(34)&amp;","</f>
        <v>"S07E05": "S05E08",</v>
      </c>
      <c r="M71" s="2" t="b">
        <f>Combined[[#This Row],[Correct TVDB episode number for getting image url]]=Combined[[#This Row],[Episode number from TVMaze]]</f>
        <v>0</v>
      </c>
      <c r="N71" s="2" t="str">
        <f>IF(Combined[[#This Row],[Have file]],IF(LEN(Combined[[#This Row],[Correct TVDB episode number for getting image url]])=0,"Find correct episode number for TheTVDB",""),"Find episode on the internet")</f>
        <v/>
      </c>
    </row>
    <row r="72" spans="1:14" x14ac:dyDescent="0.25">
      <c r="A72" t="str">
        <f>TVMaze[[#This Row],[Episode number]]</f>
        <v>S07E06</v>
      </c>
      <c r="B72" t="b">
        <f>IF(ISNUMBER(MATCH(Combined[Episode number from TVMaze],Files[Episode number],0)),TRUE,FALSE)</f>
        <v>1</v>
      </c>
      <c r="C72" t="str">
        <f>TVMaze[[#This Row],[Name]]</f>
        <v>Tipton: The Birmingham Church</v>
      </c>
      <c r="D72" t="str">
        <f>VLOOKUP(Combined[[#This Row],[Episode number from TVMaze]],TVDB[],2,FALSE)</f>
        <v>Guildford: The Art Deco House</v>
      </c>
      <c r="E72" s="2" t="b">
        <f>_xlfn.IFNA(Combined[[#This Row],[Name from TVMaze]]=Combined[[#This Row],[Name from TVDB]],FALSE)</f>
        <v>0</v>
      </c>
      <c r="F72" s="2"/>
      <c r="G72" s="3">
        <f>VLOOKUP(Combined[[#This Row],[Episode number from TVMaze]],TVMazePython[],3,FALSE)</f>
        <v>39176</v>
      </c>
      <c r="H72" s="2" t="str">
        <f>VLOOKUP(Combined[[#This Row],[Episode number from TVMaze]],TVMazePython[],4,FALSE)</f>
        <v>Dean Marks has dreamt of living in a church for as long as he can remember. After searching for the right building for years, he came across St Martin's near Birmingham, a huge 18th-century grade II listed church which looks more like a mausoleum. The church wanted £25,000 for it but Dean knocked them down to £12,500. Now, after fighting for planning permission for four years, Dean and his wife, Hilary, are about to transform this derelict monstrosity into a family home.</v>
      </c>
      <c r="I72" s="2" t="str">
        <f>VLOOKUP(Combined[[#This Row],[Episode number from TVMaze]],Files[],3,FALSE)</f>
        <v>/home/ziga/share/Series/Other/0 Home and Gardening/Grand Designs/Season 07/Grand Designs - S07E06 - Tipton - The Birmingham Church.avi</v>
      </c>
      <c r="J72" s="2" t="str">
        <f>CHAR(34)&amp;Combined[[#This Row],[Episode number from TVMaze]]&amp;CHAR(34)&amp;": "&amp;CHAR(34)&amp;Combined[[#This Row],[Path]]&amp;CHAR(34)&amp;","</f>
        <v>"S07E06": "/home/ziga/share/Series/Other/0 Home and Gardening/Grand Designs/Season 07/Grand Designs - S07E06 - Tipton - The Birmingham Church.avi",</v>
      </c>
      <c r="K72" s="2" t="s">
        <v>897</v>
      </c>
      <c r="L72" s="2" t="str">
        <f>CHAR(34)&amp;Combined[[#This Row],[Episode number from TVMaze]]&amp;CHAR(34)&amp;": "&amp;CHAR(34)&amp;Combined[[#This Row],[Correct TVDB episode number for getting image url]]&amp;CHAR(34)&amp;","</f>
        <v>"S07E06": "S07E05",</v>
      </c>
      <c r="M72" s="2" t="b">
        <f>Combined[[#This Row],[Correct TVDB episode number for getting image url]]=Combined[[#This Row],[Episode number from TVMaze]]</f>
        <v>0</v>
      </c>
      <c r="N72" s="2" t="str">
        <f>IF(Combined[[#This Row],[Have file]],IF(LEN(Combined[[#This Row],[Correct TVDB episode number for getting image url]])=0,"Find correct episode number for TheTVDB",""),"Find episode on the internet")</f>
        <v/>
      </c>
    </row>
    <row r="73" spans="1:14" x14ac:dyDescent="0.25">
      <c r="A73" t="str">
        <f>TVMaze[[#This Row],[Episode number]]</f>
        <v>S07E07</v>
      </c>
      <c r="B73" t="b">
        <f>IF(ISNUMBER(MATCH(Combined[Episode number from TVMaze],Files[Episode number],0)),TRUE,FALSE)</f>
        <v>1</v>
      </c>
      <c r="C73" t="str">
        <f>TVMaze[[#This Row],[Name]]</f>
        <v>Guildford: The Art Deco House</v>
      </c>
      <c r="D73" t="str">
        <f>VLOOKUP(Combined[[#This Row],[Episode number from TVMaze]],TVDB[],2,FALSE)</f>
        <v>Cambridge: The Cambridgeshire Eco Home</v>
      </c>
      <c r="E73" s="2" t="b">
        <f>_xlfn.IFNA(Combined[[#This Row],[Name from TVMaze]]=Combined[[#This Row],[Name from TVDB]],FALSE)</f>
        <v>0</v>
      </c>
      <c r="F73" s="2"/>
      <c r="G73" s="3">
        <f>VLOOKUP(Combined[[#This Row],[Episode number from TVMaze]],TVMazePython[],3,FALSE)</f>
        <v>39183</v>
      </c>
      <c r="H73" s="2" t="str">
        <f>VLOOKUP(Combined[[#This Row],[Episode number from TVMaze]],TVMazePython[],4,FALSE)</f>
        <v>When Pilots Andrew Berry and his wife Helen bought their cottage near Guildford in Surrey 7 years ago they always planned to add a small extension. But over the last few years the modest extension has evolved so much that retaining any of the original cottage simply wasn't practical. Now it's being completely demolished to make way for a new five bedroom Art Deco style house.</v>
      </c>
      <c r="I73" s="2" t="str">
        <f>VLOOKUP(Combined[[#This Row],[Episode number from TVMaze]],Files[],3,FALSE)</f>
        <v>/home/ziga/share/Series/Other/0 Home and Gardening/Grand Designs/Season 07/Grand Designs - S07E07 - Guildford - The Art Deco House.avi</v>
      </c>
      <c r="J73" s="2" t="str">
        <f>CHAR(34)&amp;Combined[[#This Row],[Episode number from TVMaze]]&amp;CHAR(34)&amp;": "&amp;CHAR(34)&amp;Combined[[#This Row],[Path]]&amp;CHAR(34)&amp;","</f>
        <v>"S07E07": "/home/ziga/share/Series/Other/0 Home and Gardening/Grand Designs/Season 07/Grand Designs - S07E07 - Guildford - The Art Deco House.avi",</v>
      </c>
      <c r="K73" s="2" t="s">
        <v>898</v>
      </c>
      <c r="L73" s="2" t="str">
        <f>CHAR(34)&amp;Combined[[#This Row],[Episode number from TVMaze]]&amp;CHAR(34)&amp;": "&amp;CHAR(34)&amp;Combined[[#This Row],[Correct TVDB episode number for getting image url]]&amp;CHAR(34)&amp;","</f>
        <v>"S07E07": "S07E06",</v>
      </c>
      <c r="M73" s="2" t="b">
        <f>Combined[[#This Row],[Correct TVDB episode number for getting image url]]=Combined[[#This Row],[Episode number from TVMaze]]</f>
        <v>0</v>
      </c>
      <c r="N73" s="2" t="str">
        <f>IF(Combined[[#This Row],[Have file]],IF(LEN(Combined[[#This Row],[Correct TVDB episode number for getting image url]])=0,"Find correct episode number for TheTVDB",""),"Find episode on the internet")</f>
        <v/>
      </c>
    </row>
    <row r="74" spans="1:14" x14ac:dyDescent="0.25">
      <c r="A74" t="str">
        <f>TVMaze[[#This Row],[Episode number]]</f>
        <v>S07E08</v>
      </c>
      <c r="B74" t="b">
        <f>IF(ISNUMBER(MATCH(Combined[Episode number from TVMaze],Files[Episode number],0)),TRUE,FALSE)</f>
        <v>1</v>
      </c>
      <c r="C74" t="str">
        <f>TVMaze[[#This Row],[Name]]</f>
        <v>Revisited - Peckham: The Sliding Glass Roof House (Revisited from S5 Ep2)</v>
      </c>
      <c r="D74" t="str">
        <f>VLOOKUP(Combined[[#This Row],[Episode number from TVMaze]],TVDB[],2,FALSE)</f>
        <v>London: The Glass and Timber House</v>
      </c>
      <c r="E74" s="2" t="b">
        <f>_xlfn.IFNA(Combined[[#This Row],[Name from TVMaze]]=Combined[[#This Row],[Name from TVDB]],FALSE)</f>
        <v>0</v>
      </c>
      <c r="F74" s="2"/>
      <c r="G74" s="3">
        <f>VLOOKUP(Combined[[#This Row],[Episode number from TVMaze]],TVMazePython[],3,FALSE)</f>
        <v>39190</v>
      </c>
      <c r="H74" s="2" t="str">
        <f>VLOOKUP(Combined[[#This Row],[Episode number from TVMaze]],TVMazePython[],4,FALSE)</f>
        <v>Here we see an extraordinary and inventive project in South London revisited. This house proves that even in the most crowded areas of our cities, there is potential for Grand Designs. When Monty Ravenscroft and Clare Loewe began looking for a house to buy in London they soon realised that the only affordable option was to build one themselves. They snapped up a dirt cheap slither of land in Peckham at an auction only to be told it was too small to put a house on. Undeterred, three years ago, engineering whiz Monty began building an extraordinary experimental bungalow that filled the site to bursting point.</v>
      </c>
      <c r="I74" s="2" t="str">
        <f>VLOOKUP(Combined[[#This Row],[Episode number from TVMaze]],Files[],3,FALSE)</f>
        <v>/home/ziga/share/Series/Other/0 Home and Gardening/Grand Designs/Season 07/Grand Designs - S07E08 - Revisited - Peckham - The Sliding Glass Roof House (Revisited from S5 Ep2).avi</v>
      </c>
      <c r="J74" s="2" t="str">
        <f>CHAR(34)&amp;Combined[[#This Row],[Episode number from TVMaze]]&amp;CHAR(34)&amp;": "&amp;CHAR(34)&amp;Combined[[#This Row],[Path]]&amp;CHAR(34)&amp;","</f>
        <v>"S07E08": "/home/ziga/share/Series/Other/0 Home and Gardening/Grand Designs/Season 07/Grand Designs - S07E08 - Revisited - Peckham - The Sliding Glass Roof House (Revisited from S5 Ep2).avi",</v>
      </c>
      <c r="K74" s="2" t="s">
        <v>884</v>
      </c>
      <c r="L74" s="2" t="str">
        <f>CHAR(34)&amp;Combined[[#This Row],[Episode number from TVMaze]]&amp;CHAR(34)&amp;": "&amp;CHAR(34)&amp;Combined[[#This Row],[Correct TVDB episode number for getting image url]]&amp;CHAR(34)&amp;","</f>
        <v>"S07E08": "S05E09",</v>
      </c>
      <c r="M74" s="2" t="b">
        <f>Combined[[#This Row],[Correct TVDB episode number for getting image url]]=Combined[[#This Row],[Episode number from TVMaze]]</f>
        <v>0</v>
      </c>
      <c r="N74" s="2" t="str">
        <f>IF(Combined[[#This Row],[Have file]],IF(LEN(Combined[[#This Row],[Correct TVDB episode number for getting image url]])=0,"Find correct episode number for TheTVDB",""),"Find episode on the internet")</f>
        <v/>
      </c>
    </row>
    <row r="75" spans="1:14" x14ac:dyDescent="0.25">
      <c r="A75" t="str">
        <f>TVMaze[[#This Row],[Episode number]]</f>
        <v>S07E09</v>
      </c>
      <c r="B75" t="b">
        <f>IF(ISNUMBER(MATCH(Combined[Episode number from TVMaze],Files[Episode number],0)),TRUE,FALSE)</f>
        <v>1</v>
      </c>
      <c r="C75" t="str">
        <f>TVMaze[[#This Row],[Name]]</f>
        <v>Revisited - Argyll: The Oak-Framed House (Revisited from S4 Ep7)</v>
      </c>
      <c r="D75" t="str">
        <f>VLOOKUP(Combined[[#This Row],[Episode number from TVMaze]],TVDB[],2,FALSE)</f>
        <v>Revisited - Yorkshire: The 14th Century Castle</v>
      </c>
      <c r="E75" s="2" t="b">
        <f>_xlfn.IFNA(Combined[[#This Row],[Name from TVMaze]]=Combined[[#This Row],[Name from TVDB]],FALSE)</f>
        <v>0</v>
      </c>
      <c r="F75" s="2"/>
      <c r="G75" s="3">
        <f>VLOOKUP(Combined[[#This Row],[Episode number from TVMaze]],TVMazePython[],3,FALSE)</f>
        <v>39197</v>
      </c>
      <c r="H75" s="2" t="str">
        <f>VLOOKUP(Combined[[#This Row],[Episode number from TVMaze]],TVMazePython[],4,FALSE)</f>
        <v>Musicians Tony and Jo Moffat began building a home on the west coast of Scotland, investing in an architect who developed an experimental design emulating a Norwegian longhouse, using a medieval-style oak frame. However, the project soon hit problems, with rocketing costs leaving them struggling to continue. Three years on, Kevin McCloud revisits the couple to see how their creation has progressed.</v>
      </c>
      <c r="I75" s="2" t="str">
        <f>VLOOKUP(Combined[[#This Row],[Episode number from TVMaze]],Files[],3,FALSE)</f>
        <v>/home/ziga/share/Series/Other/0 Home and Gardening/Grand Designs/Season 07/Grand Designs - S07E09 - Revisited - Argyll - The Oak-Framed House (Revisited from S4 Ep7).avi</v>
      </c>
      <c r="J75" s="2" t="str">
        <f>CHAR(34)&amp;Combined[[#This Row],[Episode number from TVMaze]]&amp;CHAR(34)&amp;": "&amp;CHAR(34)&amp;Combined[[#This Row],[Path]]&amp;CHAR(34)&amp;","</f>
        <v>"S07E09": "/home/ziga/share/Series/Other/0 Home and Gardening/Grand Designs/Season 07/Grand Designs - S07E09 - Revisited - Argyll - The Oak-Framed House (Revisited from S4 Ep7).avi",</v>
      </c>
      <c r="K75" s="2" t="s">
        <v>875</v>
      </c>
      <c r="L75" s="2" t="str">
        <f>CHAR(34)&amp;Combined[[#This Row],[Episode number from TVMaze]]&amp;CHAR(34)&amp;": "&amp;CHAR(34)&amp;Combined[[#This Row],[Correct TVDB episode number for getting image url]]&amp;CHAR(34)&amp;","</f>
        <v>"S07E09": "S04E12",</v>
      </c>
      <c r="M75" s="2" t="b">
        <f>Combined[[#This Row],[Correct TVDB episode number for getting image url]]=Combined[[#This Row],[Episode number from TVMaze]]</f>
        <v>0</v>
      </c>
      <c r="N75" s="2" t="str">
        <f>IF(Combined[[#This Row],[Have file]],IF(LEN(Combined[[#This Row],[Correct TVDB episode number for getting image url]])=0,"Find correct episode number for TheTVDB",""),"Find episode on the internet")</f>
        <v/>
      </c>
    </row>
    <row r="76" spans="1:14" x14ac:dyDescent="0.25">
      <c r="A76" t="str">
        <f>TVMaze[[#This Row],[Episode number]]</f>
        <v>S07E10</v>
      </c>
      <c r="B76" t="b">
        <f>IF(ISNUMBER(MATCH(Combined[Episode number from TVMaze],Files[Episode number],0)),TRUE,FALSE)</f>
        <v>1</v>
      </c>
      <c r="C76" t="str">
        <f>TVMaze[[#This Row],[Name]]</f>
        <v>Cambridgeshire: The Cambridgeshire Eco Home</v>
      </c>
      <c r="D76" t="str">
        <f>VLOOKUP(Combined[[#This Row],[Episode number from TVMaze]],TVDB[],2,FALSE)</f>
        <v>Revisited - Cambridge: The Cambridgeshire Eco Home</v>
      </c>
      <c r="E76" s="2" t="b">
        <f>_xlfn.IFNA(Combined[[#This Row],[Name from TVMaze]]=Combined[[#This Row],[Name from TVDB]],FALSE)</f>
        <v>0</v>
      </c>
      <c r="F76" s="2"/>
      <c r="G76" s="3">
        <f>VLOOKUP(Combined[[#This Row],[Episode number from TVMaze]],TVMazePython[],3,FALSE)</f>
        <v>39204</v>
      </c>
      <c r="H76" s="2" t="str">
        <f>VLOOKUP(Combined[[#This Row],[Episode number from TVMaze]],TVMazePython[],4,FALSE)</f>
        <v>Kelly and Masoko Neville set about building not just a spectacular oak frame and straw bale house, but a whole new way of life in the Cambridgeshire Fens. Kelly is a carpenter by trade and has always dreamed of building an eco friendly home with his own hands. This highly sustainable house, sitting in harmony with nature and its surroundings, will become the base for Kelly and Masoko's new self-sufficient life where they will produce their own food and energy from the land.</v>
      </c>
      <c r="I76" s="2" t="str">
        <f>VLOOKUP(Combined[[#This Row],[Episode number from TVMaze]],Files[],3,FALSE)</f>
        <v>/home/ziga/share/Series/Other/0 Home and Gardening/Grand Designs/Season 07/Grand Designs - S07E10 - Cambridgeshire - The Cambridgeshire Eco Home.avi</v>
      </c>
      <c r="J76" s="2" t="str">
        <f>CHAR(34)&amp;Combined[[#This Row],[Episode number from TVMaze]]&amp;CHAR(34)&amp;": "&amp;CHAR(34)&amp;Combined[[#This Row],[Path]]&amp;CHAR(34)&amp;","</f>
        <v>"S07E10": "/home/ziga/share/Series/Other/0 Home and Gardening/Grand Designs/Season 07/Grand Designs - S07E10 - Cambridgeshire - The Cambridgeshire Eco Home.avi",</v>
      </c>
      <c r="K76" s="2" t="s">
        <v>899</v>
      </c>
      <c r="L76" s="2" t="str">
        <f>CHAR(34)&amp;Combined[[#This Row],[Episode number from TVMaze]]&amp;CHAR(34)&amp;": "&amp;CHAR(34)&amp;Combined[[#This Row],[Correct TVDB episode number for getting image url]]&amp;CHAR(34)&amp;","</f>
        <v>"S07E10": "S07E07",</v>
      </c>
      <c r="M76" s="2" t="b">
        <f>Combined[[#This Row],[Correct TVDB episode number for getting image url]]=Combined[[#This Row],[Episode number from TVMaze]]</f>
        <v>0</v>
      </c>
      <c r="N76" s="2" t="str">
        <f>IF(Combined[[#This Row],[Have file]],IF(LEN(Combined[[#This Row],[Correct TVDB episode number for getting image url]])=0,"Find correct episode number for TheTVDB",""),"Find episode on the internet")</f>
        <v/>
      </c>
    </row>
    <row r="77" spans="1:14" x14ac:dyDescent="0.25">
      <c r="A77" t="str">
        <f>TVMaze[[#This Row],[Episode number]]</f>
        <v>S07E11</v>
      </c>
      <c r="B77" t="b">
        <f>IF(ISNUMBER(MATCH(Combined[Episode number from TVMaze],Files[Episode number],0)),TRUE,FALSE)</f>
        <v>1</v>
      </c>
      <c r="C77" t="str">
        <f>TVMaze[[#This Row],[Name]]</f>
        <v>Revisited - Tuscany: The Tuscan Castle (Revisited from Grand Designs Abroad - 13 October 2004)</v>
      </c>
      <c r="D77" t="str">
        <f>VLOOKUP(Combined[[#This Row],[Episode number from TVMaze]],TVDB[],2,FALSE)</f>
        <v>Revisited - Hampshire: The Thatched Cottage</v>
      </c>
      <c r="E77" s="2" t="b">
        <f>_xlfn.IFNA(Combined[[#This Row],[Name from TVMaze]]=Combined[[#This Row],[Name from TVDB]],FALSE)</f>
        <v>0</v>
      </c>
      <c r="F77" s="2"/>
      <c r="G77" s="3">
        <f>VLOOKUP(Combined[[#This Row],[Episode number from TVMaze]],TVMazePython[],3,FALSE)</f>
        <v>39211</v>
      </c>
      <c r="H77" s="2" t="str">
        <f>VLOOKUP(Combined[[#This Row],[Episode number from TVMaze]],TVMazePython[],4,FALSE)</f>
        <v>Kevin McCloud meets a couple who bought a ruin and moved to Italy in 1999, hoping to start work building their dream home in Tuscany. Since then they've spent all their time trying to get planning permission, but finally, after four years, they are about to start work. And it's an epic project: they have bought a derelict 1,000-year-old castle in the Tuscan hills. Now, the couple face their biggest battle of all: rebuilding this massive ruin into a comfortable and luxurious five-bedroom home.</v>
      </c>
      <c r="I77" s="2" t="str">
        <f>VLOOKUP(Combined[[#This Row],[Episode number from TVMaze]],Files[],3,FALSE)</f>
        <v>/home/ziga/share/Series/Other/0 Home and Gardening/Grand Designs/Season 07/Grand Designs - S07E11 - Revisited - Tuscany - The Tuscan Castle (Revisited from Grand Designs Abroad - 13 October 2004).avi</v>
      </c>
      <c r="J77" s="2" t="str">
        <f>CHAR(34)&amp;Combined[[#This Row],[Episode number from TVMaze]]&amp;CHAR(34)&amp;": "&amp;CHAR(34)&amp;Combined[[#This Row],[Path]]&amp;CHAR(34)&amp;","</f>
        <v>"S07E11": "/home/ziga/share/Series/Other/0 Home and Gardening/Grand Designs/Season 07/Grand Designs - S07E11 - Revisited - Tuscany - The Tuscan Castle (Revisited from Grand Designs Abroad - 13 October 2004).avi",</v>
      </c>
      <c r="K77" s="2" t="str">
        <f>IF(Combined[[#This Row],[Is name same]],Combined[[#This Row],[Episode number from TVMaze]],IF(Combined[[#This Row],[NFO created]]="No need",Combined[[#This Row],[Episode number from TVMaze]],""))</f>
        <v/>
      </c>
      <c r="L77" s="2" t="str">
        <f>CHAR(34)&amp;Combined[[#This Row],[Episode number from TVMaze]]&amp;CHAR(34)&amp;": "&amp;CHAR(34)&amp;Combined[[#This Row],[Correct TVDB episode number for getting image url]]&amp;CHAR(34)&amp;","</f>
        <v>"S07E11": "",</v>
      </c>
      <c r="M77" s="2" t="b">
        <f>Combined[[#This Row],[Correct TVDB episode number for getting image url]]=Combined[[#This Row],[Episode number from TVMaze]]</f>
        <v>0</v>
      </c>
      <c r="N77" s="2" t="str">
        <f>IF(Combined[[#This Row],[Have file]],IF(LEN(Combined[[#This Row],[Correct TVDB episode number for getting image url]])=0,"Find correct episode number for TheTVDB",""),"Find episode on the internet")</f>
        <v>Find correct episode number for TheTVDB</v>
      </c>
    </row>
    <row r="78" spans="1:14" x14ac:dyDescent="0.25">
      <c r="A78" t="str">
        <f>TVMaze[[#This Row],[Episode number]]</f>
        <v>S07E12</v>
      </c>
      <c r="B78" t="b">
        <f>IF(ISNUMBER(MATCH(Combined[Episode number from TVMaze],Files[Episode number],0)),TRUE,FALSE)</f>
        <v>1</v>
      </c>
      <c r="C78" t="str">
        <f>TVMaze[[#This Row],[Name]]</f>
        <v>Dulwich: The Glass &amp; Timber House</v>
      </c>
      <c r="D78" t="str">
        <f>VLOOKUP(Combined[[#This Row],[Episode number from TVMaze]],TVDB[],2,FALSE)</f>
        <v>Revisited - London: The Glass and Timber House</v>
      </c>
      <c r="E78" s="2" t="b">
        <f>_xlfn.IFNA(Combined[[#This Row],[Name from TVMaze]]=Combined[[#This Row],[Name from TVDB]],FALSE)</f>
        <v>0</v>
      </c>
      <c r="F78" s="2"/>
      <c r="G78" s="3">
        <f>VLOOKUP(Combined[[#This Row],[Episode number from TVMaze]],TVMazePython[],3,FALSE)</f>
        <v>39218</v>
      </c>
      <c r="H78" s="2" t="str">
        <f>VLOOKUP(Combined[[#This Row],[Episode number from TVMaze]],TVMazePython[],4,FALSE)</f>
        <v>Bill and Sarah Bradley are a couple whose dream of living mortgage-free rests on building not one, but two timber framed houses in south London. Building on the site of Bill's old wood workshop, the couple plan to sandwich the houses in between two existing rows, leaving them overlooking, and overlooked, by over twenty neighbours. To get around these difficulties Bill and Sarah's houses will use oblique windows, skylights and double height glazed courtyards to create two beautiful but private homes. But before long the budget is soaring and Bill's desire to go more luxurious and high spec leaves their dream of debt free living looking ever more remote.</v>
      </c>
      <c r="I78" s="2" t="str">
        <f>VLOOKUP(Combined[[#This Row],[Episode number from TVMaze]],Files[],3,FALSE)</f>
        <v>/home/ziga/share/Series/Other/0 Home and Gardening/Grand Designs/Season 07/Grand Designs - S07E12 - Dulwich - The Glass &amp; Timber House.avi</v>
      </c>
      <c r="J78" s="2" t="str">
        <f>CHAR(34)&amp;Combined[[#This Row],[Episode number from TVMaze]]&amp;CHAR(34)&amp;": "&amp;CHAR(34)&amp;Combined[[#This Row],[Path]]&amp;CHAR(34)&amp;","</f>
        <v>"S07E12": "/home/ziga/share/Series/Other/0 Home and Gardening/Grand Designs/Season 07/Grand Designs - S07E12 - Dulwich - The Glass &amp; Timber House.avi",</v>
      </c>
      <c r="K78" s="2" t="s">
        <v>900</v>
      </c>
      <c r="L78" s="2" t="str">
        <f>CHAR(34)&amp;Combined[[#This Row],[Episode number from TVMaze]]&amp;CHAR(34)&amp;": "&amp;CHAR(34)&amp;Combined[[#This Row],[Correct TVDB episode number for getting image url]]&amp;CHAR(34)&amp;","</f>
        <v>"S07E12": "S07E08",</v>
      </c>
      <c r="M78" s="2" t="b">
        <f>Combined[[#This Row],[Correct TVDB episode number for getting image url]]=Combined[[#This Row],[Episode number from TVMaze]]</f>
        <v>0</v>
      </c>
      <c r="N78" s="2" t="str">
        <f>IF(Combined[[#This Row],[Have file]],IF(LEN(Combined[[#This Row],[Correct TVDB episode number for getting image url]])=0,"Find correct episode number for TheTVDB",""),"Find episode on the internet")</f>
        <v/>
      </c>
    </row>
    <row r="79" spans="1:14" x14ac:dyDescent="0.25">
      <c r="A79" t="str">
        <f>TVMaze[[#This Row],[Episode number]]</f>
        <v>S08E01</v>
      </c>
      <c r="B79" t="b">
        <f>IF(ISNUMBER(MATCH(Combined[Episode number from TVMaze],Files[Episode number],0)),TRUE,FALSE)</f>
        <v>1</v>
      </c>
      <c r="C79" t="str">
        <f>TVMaze[[#This Row],[Name]]</f>
        <v>Cheltenham: The Underground House</v>
      </c>
      <c r="D79" t="str">
        <f>VLOOKUP(Combined[[#This Row],[Episode number from TVMaze]],TVDB[],2,FALSE)</f>
        <v>Cheltenham: The Underground House</v>
      </c>
      <c r="E79" s="2" t="b">
        <f>_xlfn.IFNA(Combined[[#This Row],[Name from TVMaze]]=Combined[[#This Row],[Name from TVDB]],FALSE)</f>
        <v>1</v>
      </c>
      <c r="F79" s="2"/>
      <c r="G79" s="3">
        <f>VLOOKUP(Combined[[#This Row],[Episode number from TVMaze]],TVMazePython[],3,FALSE)</f>
        <v>39463</v>
      </c>
      <c r="H79" s="2" t="str">
        <f>VLOOKUP(Combined[[#This Row],[Episode number from TVMaze]],TVMazePython[],4,FALSE)</f>
        <v>A couple, Zoe and Tim Bawtree, who live in a Regency house in Cheltenham that is expensive to run decide to sell up and build a modern low maintenance house in their back garden. However, height restrictions mean they have to build 60 per cent of their new home underground and neighbours make 90 complaints about their planning application. Undeterred, the pair continue as planned, but the project encounters further problems including the departure of the builders.</v>
      </c>
      <c r="I79" s="2" t="str">
        <f>VLOOKUP(Combined[[#This Row],[Episode number from TVMaze]],Files[],3,FALSE)</f>
        <v>/home/ziga/share/Series/Other/0 Home and Gardening/Grand Designs/Season 08/Grand Designs - S08E01 - Cheltenham - The Underground House.avi</v>
      </c>
      <c r="J79" s="2" t="str">
        <f>CHAR(34)&amp;Combined[[#This Row],[Episode number from TVMaze]]&amp;CHAR(34)&amp;": "&amp;CHAR(34)&amp;Combined[[#This Row],[Path]]&amp;CHAR(34)&amp;","</f>
        <v>"S08E01": "/home/ziga/share/Series/Other/0 Home and Gardening/Grand Designs/Season 08/Grand Designs - S08E01 - Cheltenham - The Underground House.avi",</v>
      </c>
      <c r="K79" s="2" t="str">
        <f>IF(Combined[[#This Row],[Is name same]],Combined[[#This Row],[Episode number from TVMaze]],IF(Combined[[#This Row],[NFO created]]="No need",Combined[[#This Row],[Episode number from TVMaze]],""))</f>
        <v>S08E01</v>
      </c>
      <c r="L79" s="2" t="str">
        <f>CHAR(34)&amp;Combined[[#This Row],[Episode number from TVMaze]]&amp;CHAR(34)&amp;": "&amp;CHAR(34)&amp;Combined[[#This Row],[Correct TVDB episode number for getting image url]]&amp;CHAR(34)&amp;","</f>
        <v>"S08E01": "S08E01",</v>
      </c>
      <c r="M79" s="2" t="b">
        <f>Combined[[#This Row],[Correct TVDB episode number for getting image url]]=Combined[[#This Row],[Episode number from TVMaze]]</f>
        <v>1</v>
      </c>
      <c r="N79" s="2" t="str">
        <f>IF(Combined[[#This Row],[Have file]],IF(LEN(Combined[[#This Row],[Correct TVDB episode number for getting image url]])=0,"Find correct episode number for TheTVDB",""),"Find episode on the internet")</f>
        <v/>
      </c>
    </row>
    <row r="80" spans="1:14" x14ac:dyDescent="0.25">
      <c r="A80" t="str">
        <f>TVMaze[[#This Row],[Episode number]]</f>
        <v>S08E02</v>
      </c>
      <c r="B80" t="b">
        <f>IF(ISNUMBER(MATCH(Combined[Episode number from TVMaze],Files[Episode number],0)),TRUE,FALSE)</f>
        <v>1</v>
      </c>
      <c r="C80" t="str">
        <f>TVMaze[[#This Row],[Name]]</f>
        <v>Oxford: The Decagon House</v>
      </c>
      <c r="D80" t="str">
        <f>VLOOKUP(Combined[[#This Row],[Episode number from TVMaze]],TVDB[],2,FALSE)</f>
        <v>Oxford: The Decagon House</v>
      </c>
      <c r="E80" s="2" t="b">
        <f>_xlfn.IFNA(Combined[[#This Row],[Name from TVMaze]]=Combined[[#This Row],[Name from TVDB]],FALSE)</f>
        <v>1</v>
      </c>
      <c r="F80" s="2"/>
      <c r="G80" s="3">
        <f>VLOOKUP(Combined[[#This Row],[Episode number from TVMaze]],TVMazePython[],3,FALSE)</f>
        <v>39470</v>
      </c>
      <c r="H80" s="2" t="str">
        <f>VLOOKUP(Combined[[#This Row],[Episode number from TVMaze]],TVMazePython[],4,FALSE)</f>
        <v>Kevin McCloud meets a commercial surveyor, Henry Chopping, with an £800,000 budget who is planning to build an unusual home in Oxford. His chosen plot is situated behind a listed wall and strict planning conditions mean the house has to be only one storey high. With the help of an architect, the owner comes up with a design that makes the most of the land and available light, but his perfectionist nature causes the project to run behind schedule.</v>
      </c>
      <c r="I80" s="2" t="str">
        <f>VLOOKUP(Combined[[#This Row],[Episode number from TVMaze]],Files[],3,FALSE)</f>
        <v>/home/ziga/share/Series/Other/0 Home and Gardening/Grand Designs/Season 08/Grand Designs - S08E02 - Oxford - The Decagon House.avi</v>
      </c>
      <c r="J80" s="2" t="str">
        <f>CHAR(34)&amp;Combined[[#This Row],[Episode number from TVMaze]]&amp;CHAR(34)&amp;": "&amp;CHAR(34)&amp;Combined[[#This Row],[Path]]&amp;CHAR(34)&amp;","</f>
        <v>"S08E02": "/home/ziga/share/Series/Other/0 Home and Gardening/Grand Designs/Season 08/Grand Designs - S08E02 - Oxford - The Decagon House.avi",</v>
      </c>
      <c r="K80" s="2" t="str">
        <f>IF(Combined[[#This Row],[Is name same]],Combined[[#This Row],[Episode number from TVMaze]],IF(Combined[[#This Row],[NFO created]]="No need",Combined[[#This Row],[Episode number from TVMaze]],""))</f>
        <v>S08E02</v>
      </c>
      <c r="L80" s="2" t="str">
        <f>CHAR(34)&amp;Combined[[#This Row],[Episode number from TVMaze]]&amp;CHAR(34)&amp;": "&amp;CHAR(34)&amp;Combined[[#This Row],[Correct TVDB episode number for getting image url]]&amp;CHAR(34)&amp;","</f>
        <v>"S08E02": "S08E02",</v>
      </c>
      <c r="M80" s="2" t="b">
        <f>Combined[[#This Row],[Correct TVDB episode number for getting image url]]=Combined[[#This Row],[Episode number from TVMaze]]</f>
        <v>1</v>
      </c>
      <c r="N80" s="2" t="str">
        <f>IF(Combined[[#This Row],[Have file]],IF(LEN(Combined[[#This Row],[Correct TVDB episode number for getting image url]])=0,"Find correct episode number for TheTVDB",""),"Find episode on the internet")</f>
        <v/>
      </c>
    </row>
    <row r="81" spans="1:14" x14ac:dyDescent="0.25">
      <c r="A81" t="str">
        <f>TVMaze[[#This Row],[Episode number]]</f>
        <v>S08E03</v>
      </c>
      <c r="B81" t="b">
        <f>IF(ISNUMBER(MATCH(Combined[Episode number from TVMaze],Files[Episode number],0)),TRUE,FALSE)</f>
        <v>1</v>
      </c>
      <c r="C81" t="str">
        <f>TVMaze[[#This Row],[Name]]</f>
        <v>Bristol: The Modernist Sugar Cube</v>
      </c>
      <c r="D81" t="str">
        <f>VLOOKUP(Combined[[#This Row],[Episode number from TVMaze]],TVDB[],2,FALSE)</f>
        <v>Bristol: The Modernist Sugar Cube</v>
      </c>
      <c r="E81" s="2" t="b">
        <f>_xlfn.IFNA(Combined[[#This Row],[Name from TVMaze]]=Combined[[#This Row],[Name from TVDB]],FALSE)</f>
        <v>1</v>
      </c>
      <c r="F81" s="2"/>
      <c r="G81" s="3">
        <f>VLOOKUP(Combined[[#This Row],[Episode number from TVMaze]],TVMazePython[],3,FALSE)</f>
        <v>39477</v>
      </c>
      <c r="H81" s="2" t="str">
        <f>VLOOKUP(Combined[[#This Row],[Episode number from TVMaze]],TVMazePython[],4,FALSE)</f>
        <v>An architect, Martin Pease (and Katherine) plans an unusual home for his family where everything is white and open plan. He calls upon his experience of designing commercial buildings to build the house and uses materials and systems more commonly used in office projects. The biggest risk is that his house may look more like a car showroom than a comfortable retreat.</v>
      </c>
      <c r="I81" s="2" t="str">
        <f>VLOOKUP(Combined[[#This Row],[Episode number from TVMaze]],Files[],3,FALSE)</f>
        <v>/home/ziga/share/Series/Other/0 Home and Gardening/Grand Designs/Season 08/Grand Designs - S08E03 - Bristol - The Modernist Sugar Cube.avi</v>
      </c>
      <c r="J81" s="2" t="str">
        <f>CHAR(34)&amp;Combined[[#This Row],[Episode number from TVMaze]]&amp;CHAR(34)&amp;": "&amp;CHAR(34)&amp;Combined[[#This Row],[Path]]&amp;CHAR(34)&amp;","</f>
        <v>"S08E03": "/home/ziga/share/Series/Other/0 Home and Gardening/Grand Designs/Season 08/Grand Designs - S08E03 - Bristol - The Modernist Sugar Cube.avi",</v>
      </c>
      <c r="K81" s="2" t="str">
        <f>IF(Combined[[#This Row],[Is name same]],Combined[[#This Row],[Episode number from TVMaze]],IF(Combined[[#This Row],[NFO created]]="No need",Combined[[#This Row],[Episode number from TVMaze]],""))</f>
        <v>S08E03</v>
      </c>
      <c r="L81" s="2" t="str">
        <f>CHAR(34)&amp;Combined[[#This Row],[Episode number from TVMaze]]&amp;CHAR(34)&amp;": "&amp;CHAR(34)&amp;Combined[[#This Row],[Correct TVDB episode number for getting image url]]&amp;CHAR(34)&amp;","</f>
        <v>"S08E03": "S08E03",</v>
      </c>
      <c r="M81" s="2" t="b">
        <f>Combined[[#This Row],[Correct TVDB episode number for getting image url]]=Combined[[#This Row],[Episode number from TVMaze]]</f>
        <v>1</v>
      </c>
      <c r="N81" s="2" t="str">
        <f>IF(Combined[[#This Row],[Have file]],IF(LEN(Combined[[#This Row],[Correct TVDB episode number for getting image url]])=0,"Find correct episode number for TheTVDB",""),"Find episode on the internet")</f>
        <v/>
      </c>
    </row>
    <row r="82" spans="1:14" x14ac:dyDescent="0.25">
      <c r="A82" t="str">
        <f>TVMaze[[#This Row],[Episode number]]</f>
        <v>S08E04</v>
      </c>
      <c r="B82" t="b">
        <f>IF(ISNUMBER(MATCH(Combined[Episode number from TVMaze],Files[Episode number],0)),TRUE,FALSE)</f>
        <v>1</v>
      </c>
      <c r="C82" t="str">
        <f>TVMaze[[#This Row],[Name]]</f>
        <v>Herefordshire: The Gothic House</v>
      </c>
      <c r="D82" t="str">
        <f>VLOOKUP(Combined[[#This Row],[Episode number from TVMaze]],TVDB[],2,FALSE)</f>
        <v>Monmouth: The Gothic House</v>
      </c>
      <c r="E82" s="2" t="b">
        <f>_xlfn.IFNA(Combined[[#This Row],[Name from TVMaze]]=Combined[[#This Row],[Name from TVDB]],FALSE)</f>
        <v>0</v>
      </c>
      <c r="F82" s="2" t="s">
        <v>1316</v>
      </c>
      <c r="G82" s="3">
        <f>VLOOKUP(Combined[[#This Row],[Episode number from TVMaze]],TVMazePython[],3,FALSE)</f>
        <v>39484</v>
      </c>
      <c r="H82" s="2" t="str">
        <f>VLOOKUP(Combined[[#This Row],[Episode number from TVMaze]],TVMazePython[],4,FALSE)</f>
        <v>A couple, Jo and Shaun Bennett, with a love of gothic architecture and horror movies plan to use their budget of £250,000 to build an Addams Family-style house, complete with a stained glass window, a stone fireplace and an oak staircase featuring gargoyles. However, completing the five-bedroom house on limited funds proves difficult.</v>
      </c>
      <c r="I82" s="2" t="str">
        <f>VLOOKUP(Combined[[#This Row],[Episode number from TVMaze]],Files[],3,FALSE)</f>
        <v>/home/ziga/share/Series/Other/0 Home and Gardening/Grand Designs/Season 08/Grand Designs - S08E04 - Herefordshire - The Gothic House.avi</v>
      </c>
      <c r="J82" s="2" t="str">
        <f>CHAR(34)&amp;Combined[[#This Row],[Episode number from TVMaze]]&amp;CHAR(34)&amp;": "&amp;CHAR(34)&amp;Combined[[#This Row],[Path]]&amp;CHAR(34)&amp;","</f>
        <v>"S08E04": "/home/ziga/share/Series/Other/0 Home and Gardening/Grand Designs/Season 08/Grand Designs - S08E04 - Herefordshire - The Gothic House.avi",</v>
      </c>
      <c r="K82" s="2" t="str">
        <f>IF(Combined[[#This Row],[Is name same]],Combined[[#This Row],[Episode number from TVMaze]],IF(Combined[[#This Row],[NFO created]]="No need",Combined[[#This Row],[Episode number from TVMaze]],""))</f>
        <v>S08E04</v>
      </c>
      <c r="L82" s="2" t="str">
        <f>CHAR(34)&amp;Combined[[#This Row],[Episode number from TVMaze]]&amp;CHAR(34)&amp;": "&amp;CHAR(34)&amp;Combined[[#This Row],[Correct TVDB episode number for getting image url]]&amp;CHAR(34)&amp;","</f>
        <v>"S08E04": "S08E04",</v>
      </c>
      <c r="M82" s="2" t="b">
        <f>Combined[[#This Row],[Correct TVDB episode number for getting image url]]=Combined[[#This Row],[Episode number from TVMaze]]</f>
        <v>1</v>
      </c>
      <c r="N82" s="2" t="str">
        <f>IF(Combined[[#This Row],[Have file]],IF(LEN(Combined[[#This Row],[Correct TVDB episode number for getting image url]])=0,"Find correct episode number for TheTVDB",""),"Find episode on the internet")</f>
        <v/>
      </c>
    </row>
    <row r="83" spans="1:14" x14ac:dyDescent="0.25">
      <c r="A83" t="str">
        <f>TVMaze[[#This Row],[Episode number]]</f>
        <v>S08E05</v>
      </c>
      <c r="B83" t="b">
        <f>IF(ISNUMBER(MATCH(Combined[Episode number from TVMaze],Files[Episode number],0)),TRUE,FALSE)</f>
        <v>1</v>
      </c>
      <c r="C83" t="str">
        <f>TVMaze[[#This Row],[Name]]</f>
        <v>Midlothian: The Lime Kiln House</v>
      </c>
      <c r="D83" t="str">
        <f>VLOOKUP(Combined[[#This Row],[Episode number from TVMaze]],TVDB[],2,FALSE)</f>
        <v>Midlothian: The Lime Kiln House</v>
      </c>
      <c r="E83" s="2" t="b">
        <f>_xlfn.IFNA(Combined[[#This Row],[Name from TVMaze]]=Combined[[#This Row],[Name from TVDB]],FALSE)</f>
        <v>1</v>
      </c>
      <c r="F83" s="2"/>
      <c r="G83" s="3">
        <f>VLOOKUP(Combined[[#This Row],[Episode number from TVMaze]],TVMazePython[],3,FALSE)</f>
        <v>39491</v>
      </c>
      <c r="H83" s="2" t="str">
        <f>VLOOKUP(Combined[[#This Row],[Episode number from TVMaze]],TVMazePython[],4,FALSE)</f>
        <v>A couple, Pru and Richard Irvine, decide to build a family home on an industrial site in the Midlothian countryside complete with lime kilns, but are only allowed to do so if they become custodians of the kilns and their house blends in with the landscape. This proves challenging for the pair as they want to build a modern property that could be seen as a blot on the landscape to the locals. The task is made all the more demanding when they underestimate the long hours needed to be a project manager.</v>
      </c>
      <c r="I83" s="2" t="str">
        <f>VLOOKUP(Combined[[#This Row],[Episode number from TVMaze]],Files[],3,FALSE)</f>
        <v>/home/ziga/share/Series/Other/0 Home and Gardening/Grand Designs/Season 08/Grand Designs - S08E05 - Midlothian - The Lime Kiln House.avi</v>
      </c>
      <c r="J83" s="2" t="str">
        <f>CHAR(34)&amp;Combined[[#This Row],[Episode number from TVMaze]]&amp;CHAR(34)&amp;": "&amp;CHAR(34)&amp;Combined[[#This Row],[Path]]&amp;CHAR(34)&amp;","</f>
        <v>"S08E05": "/home/ziga/share/Series/Other/0 Home and Gardening/Grand Designs/Season 08/Grand Designs - S08E05 - Midlothian - The Lime Kiln House.avi",</v>
      </c>
      <c r="K83" s="2" t="str">
        <f>IF(Combined[[#This Row],[Is name same]],Combined[[#This Row],[Episode number from TVMaze]],IF(Combined[[#This Row],[NFO created]]="No need",Combined[[#This Row],[Episode number from TVMaze]],""))</f>
        <v>S08E05</v>
      </c>
      <c r="L83" s="2" t="str">
        <f>CHAR(34)&amp;Combined[[#This Row],[Episode number from TVMaze]]&amp;CHAR(34)&amp;": "&amp;CHAR(34)&amp;Combined[[#This Row],[Correct TVDB episode number for getting image url]]&amp;CHAR(34)&amp;","</f>
        <v>"S08E05": "S08E05",</v>
      </c>
      <c r="M83" s="2" t="b">
        <f>Combined[[#This Row],[Correct TVDB episode number for getting image url]]=Combined[[#This Row],[Episode number from TVMaze]]</f>
        <v>1</v>
      </c>
      <c r="N83" s="2" t="str">
        <f>IF(Combined[[#This Row],[Have file]],IF(LEN(Combined[[#This Row],[Correct TVDB episode number for getting image url]])=0,"Find correct episode number for TheTVDB",""),"Find episode on the internet")</f>
        <v/>
      </c>
    </row>
    <row r="84" spans="1:14" x14ac:dyDescent="0.25">
      <c r="A84" t="str">
        <f>TVMaze[[#This Row],[Episode number]]</f>
        <v>S08E06</v>
      </c>
      <c r="B84" t="b">
        <f>IF(ISNUMBER(MATCH(Combined[Episode number from TVMaze],Files[Episode number],0)),TRUE,FALSE)</f>
        <v>1</v>
      </c>
      <c r="C84" t="str">
        <f>TVMaze[[#This Row],[Name]]</f>
        <v>Bath: The Bath Kit House</v>
      </c>
      <c r="D84" t="str">
        <f>VLOOKUP(Combined[[#This Row],[Episode number from TVMaze]],TVDB[],2,FALSE)</f>
        <v>Bath: The Bath Kit House</v>
      </c>
      <c r="E84" s="2" t="b">
        <f>_xlfn.IFNA(Combined[[#This Row],[Name from TVMaze]]=Combined[[#This Row],[Name from TVDB]],FALSE)</f>
        <v>1</v>
      </c>
      <c r="F84" s="2"/>
      <c r="G84" s="3">
        <f>VLOOKUP(Combined[[#This Row],[Episode number from TVMaze]],TVMazePython[],3,FALSE)</f>
        <v>39498</v>
      </c>
      <c r="H84" s="2" t="str">
        <f>VLOOKUP(Combined[[#This Row],[Episode number from TVMaze]],TVMazePython[],4,FALSE)</f>
        <v>Rather than go down the traditional building route, Tiffany and Jonny Wood opted for a German pre-fabricated kit house with great green credentials. Before they could even think about building their house they had to prepare their site: a fiercely steep hillside. Tiffany and Jonny embarked on the biggest ground works project Grand Designs has ever seen, costing around £300,000. And, just when they were about to complete these mammoth works, the weather turned bad and disaster struck. Their neighbour's wall collapsed in a storm. The resulting damage could have cost them nearly £100,000. Determined to carry on, even through 80 tonnes of extra mud, Tiffany and Jonny persevered, and a year into their project, were finally able to go to Germany to choose their house. Every fixture and fitting had to be decided and, once made, no changes were allowed. Now, with the promise of the house taking only five days to go up on site, and with no possibility of landslides, hopefully their build will now run smoothly...</v>
      </c>
      <c r="I84" s="2" t="str">
        <f>VLOOKUP(Combined[[#This Row],[Episode number from TVMaze]],Files[],3,FALSE)</f>
        <v>/home/ziga/share/Series/Other/0 Home and Gardening/Grand Designs/Season 08/Grand Designs - S08E06 - Bath - The Bath Kit House.avi</v>
      </c>
      <c r="J84" s="2" t="str">
        <f>CHAR(34)&amp;Combined[[#This Row],[Episode number from TVMaze]]&amp;CHAR(34)&amp;": "&amp;CHAR(34)&amp;Combined[[#This Row],[Path]]&amp;CHAR(34)&amp;","</f>
        <v>"S08E06": "/home/ziga/share/Series/Other/0 Home and Gardening/Grand Designs/Season 08/Grand Designs - S08E06 - Bath - The Bath Kit House.avi",</v>
      </c>
      <c r="K84" s="2" t="str">
        <f>IF(Combined[[#This Row],[Is name same]],Combined[[#This Row],[Episode number from TVMaze]],IF(Combined[[#This Row],[NFO created]]="No need",Combined[[#This Row],[Episode number from TVMaze]],""))</f>
        <v>S08E06</v>
      </c>
      <c r="L84" s="2" t="str">
        <f>CHAR(34)&amp;Combined[[#This Row],[Episode number from TVMaze]]&amp;CHAR(34)&amp;": "&amp;CHAR(34)&amp;Combined[[#This Row],[Correct TVDB episode number for getting image url]]&amp;CHAR(34)&amp;","</f>
        <v>"S08E06": "S08E06",</v>
      </c>
      <c r="M84" s="2" t="b">
        <f>Combined[[#This Row],[Correct TVDB episode number for getting image url]]=Combined[[#This Row],[Episode number from TVMaze]]</f>
        <v>1</v>
      </c>
      <c r="N84" s="2" t="str">
        <f>IF(Combined[[#This Row],[Have file]],IF(LEN(Combined[[#This Row],[Correct TVDB episode number for getting image url]])=0,"Find correct episode number for TheTVDB",""),"Find episode on the internet")</f>
        <v/>
      </c>
    </row>
    <row r="85" spans="1:14" x14ac:dyDescent="0.25">
      <c r="A85" t="str">
        <f>TVMaze[[#This Row],[Episode number]]</f>
        <v>S08E07</v>
      </c>
      <c r="B85" t="b">
        <f>IF(ISNUMBER(MATCH(Combined[Episode number from TVMaze],Files[Episode number],0)),TRUE,FALSE)</f>
        <v>1</v>
      </c>
      <c r="C85" t="str">
        <f>TVMaze[[#This Row],[Name]]</f>
        <v>Revisited - Puglia: An Artists' Retreat (Revisited from Grand Designs Abroad - 22 September 2004)</v>
      </c>
      <c r="D85" t="str">
        <f>VLOOKUP(Combined[[#This Row],[Episode number from TVMaze]],TVDB[],2,FALSE)</f>
        <v>Maidstone: The Hi Tech Bungalow</v>
      </c>
      <c r="E85" s="2" t="b">
        <f>_xlfn.IFNA(Combined[[#This Row],[Name from TVMaze]]=Combined[[#This Row],[Name from TVDB]],FALSE)</f>
        <v>0</v>
      </c>
      <c r="F85" s="2"/>
      <c r="G85" s="3">
        <f>VLOOKUP(Combined[[#This Row],[Episode number from TVMaze]],TVMazePython[],3,FALSE)</f>
        <v>39505</v>
      </c>
      <c r="H85" s="2" t="str">
        <f>VLOOKUP(Combined[[#This Row],[Episode number from TVMaze]],TVMazePython[],4,FALSE)</f>
        <v>Kevin McCloud revisits artists David Westby and Leonie Whitton three years after they bought an olive farm in the Puglia region of Italy and planned to convert it into a home on a budget of £25,000. The project proved difficult due to their lack of experience and problems with Italian planning laws. When the presenter last visited they had built a guest house but their own residence was untouched.</v>
      </c>
      <c r="I85" s="2" t="str">
        <f>VLOOKUP(Combined[[#This Row],[Episode number from TVMaze]],Files[],3,FALSE)</f>
        <v>/home/ziga/share/Series/Other/0 Home and Gardening/Grand Designs/Season 08/Grand Designs - S08E07 - Revisited - Puglia - An Artists' Retreat (Revisited from Grand Designs Abroad - 22 September 2004).avi</v>
      </c>
      <c r="J85" s="2" t="str">
        <f>CHAR(34)&amp;Combined[[#This Row],[Episode number from TVMaze]]&amp;CHAR(34)&amp;": "&amp;CHAR(34)&amp;Combined[[#This Row],[Path]]&amp;CHAR(34)&amp;","</f>
        <v>"S08E07": "/home/ziga/share/Series/Other/0 Home and Gardening/Grand Designs/Season 08/Grand Designs - S08E07 - Revisited - Puglia - An Artists' Retreat (Revisited from Grand Designs Abroad - 22 September 2004).avi",</v>
      </c>
      <c r="K85" s="2" t="str">
        <f>IF(Combined[[#This Row],[Is name same]],Combined[[#This Row],[Episode number from TVMaze]],IF(Combined[[#This Row],[NFO created]]="No need",Combined[[#This Row],[Episode number from TVMaze]],""))</f>
        <v/>
      </c>
      <c r="L85" s="2" t="str">
        <f>CHAR(34)&amp;Combined[[#This Row],[Episode number from TVMaze]]&amp;CHAR(34)&amp;": "&amp;CHAR(34)&amp;Combined[[#This Row],[Correct TVDB episode number for getting image url]]&amp;CHAR(34)&amp;","</f>
        <v>"S08E07": "",</v>
      </c>
      <c r="M85" s="2" t="b">
        <f>Combined[[#This Row],[Correct TVDB episode number for getting image url]]=Combined[[#This Row],[Episode number from TVMaze]]</f>
        <v>0</v>
      </c>
      <c r="N85" s="2" t="str">
        <f>IF(Combined[[#This Row],[Have file]],IF(LEN(Combined[[#This Row],[Correct TVDB episode number for getting image url]])=0,"Find correct episode number for TheTVDB",""),"Find episode on the internet")</f>
        <v>Find correct episode number for TheTVDB</v>
      </c>
    </row>
    <row r="86" spans="1:14" x14ac:dyDescent="0.25">
      <c r="A86" t="str">
        <f>TVMaze[[#This Row],[Episode number]]</f>
        <v>S08E08</v>
      </c>
      <c r="B86" t="b">
        <f>IF(ISNUMBER(MATCH(Combined[Episode number from TVMaze],Files[Episode number],0)),TRUE,FALSE)</f>
        <v>1</v>
      </c>
      <c r="C86" t="str">
        <f>TVMaze[[#This Row],[Name]]</f>
        <v>Revisited - Peterborough: The Wooden Box (Revisited from S3 Ep1)</v>
      </c>
      <c r="D86" t="str">
        <f>VLOOKUP(Combined[[#This Row],[Episode number from TVMaze]],TVDB[],2,FALSE)</f>
        <v>Revisited - Midlothian: The Lime Kiln House</v>
      </c>
      <c r="E86" s="2" t="b">
        <f>_xlfn.IFNA(Combined[[#This Row],[Name from TVMaze]]=Combined[[#This Row],[Name from TVDB]],FALSE)</f>
        <v>0</v>
      </c>
      <c r="F86" s="2"/>
      <c r="G86" s="3">
        <f>VLOOKUP(Combined[[#This Row],[Episode number from TVMaze]],TVMazePython[],3,FALSE)</f>
        <v>39512</v>
      </c>
      <c r="H86" s="2" t="str">
        <f>VLOOKUP(Combined[[#This Row],[Episode number from TVMaze]],TVMazePython[],4,FALSE)</f>
        <v>Five years ago, John and Terri Westlake built a timber box that even they weren't sure about on the edge of a forest in the middle of open countryside. Now Kevin's back to see whether they've warmed to the design, and what life is like living the modernist dream in splendid rural isolation.</v>
      </c>
      <c r="I86" s="2" t="str">
        <f>VLOOKUP(Combined[[#This Row],[Episode number from TVMaze]],Files[],3,FALSE)</f>
        <v>/home/ziga/share/Series/Other/0 Home and Gardening/Grand Designs/Season 08/Grand Designs - S08E08 - Revisited - Peterborough - The Wooden Box (Revisited from S3 Ep1).avi</v>
      </c>
      <c r="J86" s="2" t="str">
        <f>CHAR(34)&amp;Combined[[#This Row],[Episode number from TVMaze]]&amp;CHAR(34)&amp;": "&amp;CHAR(34)&amp;Combined[[#This Row],[Path]]&amp;CHAR(34)&amp;","</f>
        <v>"S08E08": "/home/ziga/share/Series/Other/0 Home and Gardening/Grand Designs/Season 08/Grand Designs - S08E08 - Revisited - Peterborough - The Wooden Box (Revisited from S3 Ep1).avi",</v>
      </c>
      <c r="K86" s="2" t="s">
        <v>860</v>
      </c>
      <c r="L86" s="2" t="str">
        <f>CHAR(34)&amp;Combined[[#This Row],[Episode number from TVMaze]]&amp;CHAR(34)&amp;": "&amp;CHAR(34)&amp;Combined[[#This Row],[Correct TVDB episode number for getting image url]]&amp;CHAR(34)&amp;","</f>
        <v>"S08E08": "S03E12",</v>
      </c>
      <c r="M86" s="2" t="b">
        <f>Combined[[#This Row],[Correct TVDB episode number for getting image url]]=Combined[[#This Row],[Episode number from TVMaze]]</f>
        <v>0</v>
      </c>
      <c r="N86" s="2" t="str">
        <f>IF(Combined[[#This Row],[Have file]],IF(LEN(Combined[[#This Row],[Correct TVDB episode number for getting image url]])=0,"Find correct episode number for TheTVDB",""),"Find episode on the internet")</f>
        <v/>
      </c>
    </row>
    <row r="87" spans="1:14" x14ac:dyDescent="0.25">
      <c r="A87" t="str">
        <f>TVMaze[[#This Row],[Episode number]]</f>
        <v>S08E09</v>
      </c>
      <c r="B87" t="b">
        <f>IF(ISNUMBER(MATCH(Combined[Episode number from TVMaze],Files[Episode number],0)),TRUE,FALSE)</f>
        <v>1</v>
      </c>
      <c r="C87" t="str">
        <f>TVMaze[[#This Row],[Name]]</f>
        <v>Revisited - Surrey: Customised German Kit House (Revisited from S4 Ep2)</v>
      </c>
      <c r="D87" t="e">
        <f>VLOOKUP(Combined[[#This Row],[Episode number from TVMaze]],TVDB[],2,FALSE)</f>
        <v>#N/A</v>
      </c>
      <c r="E87" s="2" t="b">
        <f>_xlfn.IFNA(Combined[[#This Row],[Name from TVMaze]]=Combined[[#This Row],[Name from TVDB]],FALSE)</f>
        <v>0</v>
      </c>
      <c r="F87" s="2"/>
      <c r="G87" s="3">
        <f>VLOOKUP(Combined[[#This Row],[Episode number from TVMaze]],TVMazePython[],3,FALSE)</f>
        <v>39519</v>
      </c>
      <c r="H87" s="2" t="str">
        <f>VLOOKUP(Combined[[#This Row],[Episode number from TVMaze]],TVMazePython[],4,FALSE)</f>
        <v>Checking on the progress of a couple, Greta and David Iredale, with a building background who replaced the timber house they designed themselves more than 40 years ago with a Huf Haus that was constructed by an efficient German construction team in just six days. Kevin McCloud finds out how successful the pair were in personalising the inside of the property.</v>
      </c>
      <c r="I87" s="2" t="str">
        <f>VLOOKUP(Combined[[#This Row],[Episode number from TVMaze]],Files[],3,FALSE)</f>
        <v>/home/ziga/share/Series/Other/0 Home and Gardening/Grand Designs/Season 08/Grand Designs - S08E09 - Revisited - Surrey - Customised German Kit House (Revisited from S4 Ep2).avi</v>
      </c>
      <c r="J87" s="2" t="str">
        <f>CHAR(34)&amp;Combined[[#This Row],[Episode number from TVMaze]]&amp;CHAR(34)&amp;": "&amp;CHAR(34)&amp;Combined[[#This Row],[Path]]&amp;CHAR(34)&amp;","</f>
        <v>"S08E09": "/home/ziga/share/Series/Other/0 Home and Gardening/Grand Designs/Season 08/Grand Designs - S08E09 - Revisited - Surrey - Customised German Kit House (Revisited from S4 Ep2).avi",</v>
      </c>
      <c r="K87" s="2" t="s">
        <v>874</v>
      </c>
      <c r="L87" s="2" t="str">
        <f>CHAR(34)&amp;Combined[[#This Row],[Episode number from TVMaze]]&amp;CHAR(34)&amp;": "&amp;CHAR(34)&amp;Combined[[#This Row],[Correct TVDB episode number for getting image url]]&amp;CHAR(34)&amp;","</f>
        <v>"S08E09": "S04E11",</v>
      </c>
      <c r="M87" s="2" t="b">
        <f>Combined[[#This Row],[Correct TVDB episode number for getting image url]]=Combined[[#This Row],[Episode number from TVMaze]]</f>
        <v>0</v>
      </c>
      <c r="N87" s="2" t="str">
        <f>IF(Combined[[#This Row],[Have file]],IF(LEN(Combined[[#This Row],[Correct TVDB episode number for getting image url]])=0,"Find correct episode number for TheTVDB",""),"Find episode on the internet")</f>
        <v/>
      </c>
    </row>
    <row r="88" spans="1:14" x14ac:dyDescent="0.25">
      <c r="A88" t="str">
        <f>TVMaze[[#This Row],[Episode number]]</f>
        <v>S08E10</v>
      </c>
      <c r="B88" t="b">
        <f>IF(ISNUMBER(MATCH(Combined[Episode number from TVMaze],Files[Episode number],0)),TRUE,FALSE)</f>
        <v>1</v>
      </c>
      <c r="C88" t="str">
        <f>TVMaze[[#This Row],[Name]]</f>
        <v>Revisited - Surrey: The Victorian Threshing Barn (Revisited from S3 Ep4)</v>
      </c>
      <c r="D88" t="e">
        <f>VLOOKUP(Combined[[#This Row],[Episode number from TVMaze]],TVDB[],2,FALSE)</f>
        <v>#N/A</v>
      </c>
      <c r="E88" s="2" t="b">
        <f>_xlfn.IFNA(Combined[[#This Row],[Name from TVMaze]]=Combined[[#This Row],[Name from TVDB]],FALSE)</f>
        <v>0</v>
      </c>
      <c r="F88" s="2"/>
      <c r="G88" s="3">
        <f>VLOOKUP(Combined[[#This Row],[Episode number from TVMaze]],TVMazePython[],3,FALSE)</f>
        <v>39526</v>
      </c>
      <c r="H88" s="2" t="str">
        <f>VLOOKUP(Combined[[#This Row],[Episode number from TVMaze]],TVMazePython[],4,FALSE)</f>
        <v>Kevin McCloud returns to a Surrey village, where brain tumour sufferer Philip Traill and his wife Angela created a high-spec contemporary house in the shell of a barn. The design involved two bedroom pods connected by a walkway, leaving an open-plan living space between. Five years on, the presenter discovers whether the couple have managed to turn the building into a relaxing family home.</v>
      </c>
      <c r="I88" s="2" t="str">
        <f>VLOOKUP(Combined[[#This Row],[Episode number from TVMaze]],Files[],3,FALSE)</f>
        <v>/home/ziga/share/Series/Other/0 Home and Gardening/Grand Designs/Season 08/Grand Designs - S08E10 - Revisited - Surrey - The Victorian Threshing Barn (Revisited from S3 Ep4).avi</v>
      </c>
      <c r="J88" s="2" t="str">
        <f>CHAR(34)&amp;Combined[[#This Row],[Episode number from TVMaze]]&amp;CHAR(34)&amp;": "&amp;CHAR(34)&amp;Combined[[#This Row],[Path]]&amp;CHAR(34)&amp;","</f>
        <v>"S08E10": "/home/ziga/share/Series/Other/0 Home and Gardening/Grand Designs/Season 08/Grand Designs - S08E10 - Revisited - Surrey - The Victorian Threshing Barn (Revisited from S3 Ep4).avi",</v>
      </c>
      <c r="K88" s="2" t="s">
        <v>861</v>
      </c>
      <c r="L88" s="2" t="str">
        <f>CHAR(34)&amp;Combined[[#This Row],[Episode number from TVMaze]]&amp;CHAR(34)&amp;": "&amp;CHAR(34)&amp;Combined[[#This Row],[Correct TVDB episode number for getting image url]]&amp;CHAR(34)&amp;","</f>
        <v>"S08E10": "S03E13",</v>
      </c>
      <c r="M88" s="2" t="b">
        <f>Combined[[#This Row],[Correct TVDB episode number for getting image url]]=Combined[[#This Row],[Episode number from TVMaze]]</f>
        <v>0</v>
      </c>
      <c r="N88" s="2" t="str">
        <f>IF(Combined[[#This Row],[Have file]],IF(LEN(Combined[[#This Row],[Correct TVDB episode number for getting image url]])=0,"Find correct episode number for TheTVDB",""),"Find episode on the internet")</f>
        <v/>
      </c>
    </row>
    <row r="89" spans="1:14" x14ac:dyDescent="0.25">
      <c r="A89" t="str">
        <f>TVMaze[[#This Row],[Episode number]]</f>
        <v>S08E11</v>
      </c>
      <c r="B89" t="b">
        <f>IF(ISNUMBER(MATCH(Combined[Episode number from TVMaze],Files[Episode number],0)),TRUE,FALSE)</f>
        <v>1</v>
      </c>
      <c r="C89" t="str">
        <f>TVMaze[[#This Row],[Name]]</f>
        <v>Revisited - Cumbria: The Underground House (Revisited from S3 Ep7)</v>
      </c>
      <c r="D89" t="e">
        <f>VLOOKUP(Combined[[#This Row],[Episode number from TVMaze]],TVDB[],2,FALSE)</f>
        <v>#N/A</v>
      </c>
      <c r="E89" s="2" t="b">
        <f>_xlfn.IFNA(Combined[[#This Row],[Name from TVMaze]]=Combined[[#This Row],[Name from TVDB]],FALSE)</f>
        <v>0</v>
      </c>
      <c r="F89" s="2"/>
      <c r="G89" s="3">
        <f>VLOOKUP(Combined[[#This Row],[Episode number from TVMaze]],TVMazePython[],3,FALSE)</f>
        <v>39533</v>
      </c>
      <c r="H89" s="2" t="str">
        <f>VLOOKUP(Combined[[#This Row],[Episode number from TVMaze]],TVMazePython[],4,FALSE)</f>
        <v>Kevin McCloud revisits Helen Gould and Phil Reddy five years after they built an earth-sheltered home in Cumbria. The presenter finds out if the house has survived without leakage and whether it has delivered the eco-friendly life the couple desired.</v>
      </c>
      <c r="I89" s="2" t="str">
        <f>VLOOKUP(Combined[[#This Row],[Episode number from TVMaze]],Files[],3,FALSE)</f>
        <v>/home/ziga/share/Series/Other/0 Home and Gardening/Grand Designs/Season 08/Grand Designs - S08E11 - Revisited - Cumbria - The Underground House (Revisited from S3 Ep7).avi</v>
      </c>
      <c r="J89" s="2" t="str">
        <f>CHAR(34)&amp;Combined[[#This Row],[Episode number from TVMaze]]&amp;CHAR(34)&amp;": "&amp;CHAR(34)&amp;Combined[[#This Row],[Path]]&amp;CHAR(34)&amp;","</f>
        <v>"S08E11": "/home/ziga/share/Series/Other/0 Home and Gardening/Grand Designs/Season 08/Grand Designs - S08E11 - Revisited - Cumbria - The Underground House (Revisited from S3 Ep7).avi",</v>
      </c>
      <c r="K89" s="2" t="s">
        <v>862</v>
      </c>
      <c r="L89" s="2" t="str">
        <f>CHAR(34)&amp;Combined[[#This Row],[Episode number from TVMaze]]&amp;CHAR(34)&amp;": "&amp;CHAR(34)&amp;Combined[[#This Row],[Correct TVDB episode number for getting image url]]&amp;CHAR(34)&amp;","</f>
        <v>"S08E11": "S03E14",</v>
      </c>
      <c r="M89" s="2" t="b">
        <f>Combined[[#This Row],[Correct TVDB episode number for getting image url]]=Combined[[#This Row],[Episode number from TVMaze]]</f>
        <v>0</v>
      </c>
      <c r="N89" s="2" t="str">
        <f>IF(Combined[[#This Row],[Have file]],IF(LEN(Combined[[#This Row],[Correct TVDB episode number for getting image url]])=0,"Find correct episode number for TheTVDB",""),"Find episode on the internet")</f>
        <v/>
      </c>
    </row>
    <row r="90" spans="1:14" x14ac:dyDescent="0.25">
      <c r="A90" t="str">
        <f>TVMaze[[#This Row],[Episode number]]</f>
        <v>S08E12</v>
      </c>
      <c r="B90" t="b">
        <f>IF(ISNUMBER(MATCH(Combined[Episode number from TVMaze],Files[Episode number],0)),TRUE,FALSE)</f>
        <v>1</v>
      </c>
      <c r="C90" t="str">
        <f>TVMaze[[#This Row],[Name]]</f>
        <v>Maidstone: The Hi Tech Bungalow</v>
      </c>
      <c r="D90" t="e">
        <f>VLOOKUP(Combined[[#This Row],[Episode number from TVMaze]],TVDB[],2,FALSE)</f>
        <v>#N/A</v>
      </c>
      <c r="E90" s="2" t="b">
        <f>_xlfn.IFNA(Combined[[#This Row],[Name from TVMaze]]=Combined[[#This Row],[Name from TVDB]],FALSE)</f>
        <v>0</v>
      </c>
      <c r="F90" s="2"/>
      <c r="G90" s="3">
        <f>VLOOKUP(Combined[[#This Row],[Episode number from TVMaze]],TVMazePython[],3,FALSE)</f>
        <v>39540</v>
      </c>
      <c r="H90" s="2" t="str">
        <f>VLOOKUP(Combined[[#This Row],[Episode number from TVMaze]],TVMazePython[],4,FALSE)</f>
        <v>In Maidstone, Jean and Bill Letley, a septuagenarian couple plan a highly contemporary bungalow complete with underfloor heating and prototype steel foundations. The project would test even the most accomplished workmen, but is left to their daughter and son-in-law, who have little building experience and have to make personal sacrifices.</v>
      </c>
      <c r="I90" s="2" t="str">
        <f>VLOOKUP(Combined[[#This Row],[Episode number from TVMaze]],Files[],3,FALSE)</f>
        <v>/home/ziga/share/Series/Other/0 Home and Gardening/Grand Designs/Season 08/Grand Designs - S08E12 - Maidstone - The Hi Tech Bungalow.avi</v>
      </c>
      <c r="J90" s="2" t="str">
        <f>CHAR(34)&amp;Combined[[#This Row],[Episode number from TVMaze]]&amp;CHAR(34)&amp;": "&amp;CHAR(34)&amp;Combined[[#This Row],[Path]]&amp;CHAR(34)&amp;","</f>
        <v>"S08E12": "/home/ziga/share/Series/Other/0 Home and Gardening/Grand Designs/Season 08/Grand Designs - S08E12 - Maidstone - The Hi Tech Bungalow.avi",</v>
      </c>
      <c r="K90" s="2" t="s">
        <v>911</v>
      </c>
      <c r="L90" s="2" t="str">
        <f>CHAR(34)&amp;Combined[[#This Row],[Episode number from TVMaze]]&amp;CHAR(34)&amp;": "&amp;CHAR(34)&amp;Combined[[#This Row],[Correct TVDB episode number for getting image url]]&amp;CHAR(34)&amp;","</f>
        <v>"S08E12": "S08E07",</v>
      </c>
      <c r="M90" s="2" t="b">
        <f>Combined[[#This Row],[Correct TVDB episode number for getting image url]]=Combined[[#This Row],[Episode number from TVMaze]]</f>
        <v>0</v>
      </c>
      <c r="N90" s="2" t="str">
        <f>IF(Combined[[#This Row],[Have file]],IF(LEN(Combined[[#This Row],[Correct TVDB episode number for getting image url]])=0,"Find correct episode number for TheTVDB",""),"Find episode on the internet")</f>
        <v/>
      </c>
    </row>
    <row r="91" spans="1:14" x14ac:dyDescent="0.25">
      <c r="A91" t="str">
        <f>TVMaze[[#This Row],[Episode number]]</f>
        <v>S09E01</v>
      </c>
      <c r="B91" t="b">
        <f>IF(ISNUMBER(MATCH(Combined[Episode number from TVMaze],Files[Episode number],0)),TRUE,FALSE)</f>
        <v>1</v>
      </c>
      <c r="C91" t="str">
        <f>TVMaze[[#This Row],[Name]]</f>
        <v>Somerset: The Apprentice Store</v>
      </c>
      <c r="D91" t="str">
        <f>VLOOKUP(Combined[[#This Row],[Episode number from TVMaze]],TVDB[],2,FALSE)</f>
        <v>Somerset: The Apprentice Store</v>
      </c>
      <c r="E91" s="2" t="b">
        <f>_xlfn.IFNA(Combined[[#This Row],[Name from TVMaze]]=Combined[[#This Row],[Name from TVDB]],FALSE)</f>
        <v>1</v>
      </c>
      <c r="F91" s="2"/>
      <c r="G91" s="3">
        <f>VLOOKUP(Combined[[#This Row],[Episode number from TVMaze]],TVMazePython[],3,FALSE)</f>
        <v>39841</v>
      </c>
      <c r="H91" s="2" t="str">
        <f>VLOOKUP(Combined[[#This Row],[Episode number from TVMaze]],TVMazePython[],4,FALSE)</f>
        <v>Ian and Sophie Cooper met at university and have since spent their time together enjoying life in London. Ian works as a marketing consultant in telecoms and Sophie is a sales manager for a fashion firm. Both are passionate about design. They've done the usual thing of renovating flats and moving on... but three years ago they realised they wanted a different kind of life in a different kind of building.</v>
      </c>
      <c r="I91" s="2" t="str">
        <f>VLOOKUP(Combined[[#This Row],[Episode number from TVMaze]],Files[],3,FALSE)</f>
        <v>/home/ziga/share/Series/Other/0 Home and Gardening/Grand Designs/Season 09/Grand Designs - S09E01 - Somerset - The Apprentice Store.avi</v>
      </c>
      <c r="J91" s="2" t="str">
        <f>CHAR(34)&amp;Combined[[#This Row],[Episode number from TVMaze]]&amp;CHAR(34)&amp;": "&amp;CHAR(34)&amp;Combined[[#This Row],[Path]]&amp;CHAR(34)&amp;","</f>
        <v>"S09E01": "/home/ziga/share/Series/Other/0 Home and Gardening/Grand Designs/Season 09/Grand Designs - S09E01 - Somerset - The Apprentice Store.avi",</v>
      </c>
      <c r="K91" s="2" t="str">
        <f>IF(Combined[[#This Row],[Is name same]],Combined[[#This Row],[Episode number from TVMaze]],IF(Combined[[#This Row],[NFO created]]="No need",Combined[[#This Row],[Episode number from TVMaze]],""))</f>
        <v>S09E01</v>
      </c>
      <c r="L91" s="2" t="str">
        <f>CHAR(34)&amp;Combined[[#This Row],[Episode number from TVMaze]]&amp;CHAR(34)&amp;": "&amp;CHAR(34)&amp;Combined[[#This Row],[Correct TVDB episode number for getting image url]]&amp;CHAR(34)&amp;","</f>
        <v>"S09E01": "S09E01",</v>
      </c>
      <c r="M91" s="2" t="b">
        <f>Combined[[#This Row],[Correct TVDB episode number for getting image url]]=Combined[[#This Row],[Episode number from TVMaze]]</f>
        <v>1</v>
      </c>
      <c r="N91" s="2" t="str">
        <f>IF(Combined[[#This Row],[Have file]],IF(LEN(Combined[[#This Row],[Correct TVDB episode number for getting image url]])=0,"Find correct episode number for TheTVDB",""),"Find episode on the internet")</f>
        <v/>
      </c>
    </row>
    <row r="92" spans="1:14" x14ac:dyDescent="0.25">
      <c r="A92" t="str">
        <f>TVMaze[[#This Row],[Episode number]]</f>
        <v>S09E02</v>
      </c>
      <c r="B92" t="b">
        <f>IF(ISNUMBER(MATCH(Combined[Episode number from TVMaze],Files[Episode number],0)),TRUE,FALSE)</f>
        <v>1</v>
      </c>
      <c r="C92" t="str">
        <f>TVMaze[[#This Row],[Name]]</f>
        <v>Oxfordshire: The Chilterns Water Mill</v>
      </c>
      <c r="D92" t="str">
        <f>VLOOKUP(Combined[[#This Row],[Episode number from TVMaze]],TVDB[],2,FALSE)</f>
        <v>Oxfordshire: The Chilterns Water Mill</v>
      </c>
      <c r="E92" s="2" t="b">
        <f>_xlfn.IFNA(Combined[[#This Row],[Name from TVMaze]]=Combined[[#This Row],[Name from TVDB]],FALSE)</f>
        <v>1</v>
      </c>
      <c r="F92" s="2"/>
      <c r="G92" s="3">
        <f>VLOOKUP(Combined[[#This Row],[Episode number from TVMaze]],TVMazePython[],3,FALSE)</f>
        <v>39848</v>
      </c>
      <c r="H92" s="2" t="str">
        <f>VLOOKUP(Combined[[#This Row],[Episode number from TVMaze]],TVMazePython[],4,FALSE)</f>
        <v>Inspired by an illustration on a yoghurt pot, Chris Ostwald decides to build a New England-style water mill in the Chilterns, on a hill and nowhere near any water. Londoner Chris bought the plot 20 years ago and it has always been his dream to build a retreat for himself and his family.</v>
      </c>
      <c r="I92" s="2" t="str">
        <f>VLOOKUP(Combined[[#This Row],[Episode number from TVMaze]],Files[],3,FALSE)</f>
        <v>/home/ziga/share/Series/Other/0 Home and Gardening/Grand Designs/Season 09/Grand Designs - S09E02 - Oxfordshire - The Chilterns Water Mill.avi</v>
      </c>
      <c r="J92" s="2" t="str">
        <f>CHAR(34)&amp;Combined[[#This Row],[Episode number from TVMaze]]&amp;CHAR(34)&amp;": "&amp;CHAR(34)&amp;Combined[[#This Row],[Path]]&amp;CHAR(34)&amp;","</f>
        <v>"S09E02": "/home/ziga/share/Series/Other/0 Home and Gardening/Grand Designs/Season 09/Grand Designs - S09E02 - Oxfordshire - The Chilterns Water Mill.avi",</v>
      </c>
      <c r="K92" s="2" t="str">
        <f>IF(Combined[[#This Row],[Is name same]],Combined[[#This Row],[Episode number from TVMaze]],IF(Combined[[#This Row],[NFO created]]="No need",Combined[[#This Row],[Episode number from TVMaze]],""))</f>
        <v>S09E02</v>
      </c>
      <c r="L92" s="2" t="str">
        <f>CHAR(34)&amp;Combined[[#This Row],[Episode number from TVMaze]]&amp;CHAR(34)&amp;": "&amp;CHAR(34)&amp;Combined[[#This Row],[Correct TVDB episode number for getting image url]]&amp;CHAR(34)&amp;","</f>
        <v>"S09E02": "S09E02",</v>
      </c>
      <c r="M92" s="2" t="b">
        <f>Combined[[#This Row],[Correct TVDB episode number for getting image url]]=Combined[[#This Row],[Episode number from TVMaze]]</f>
        <v>1</v>
      </c>
      <c r="N92" s="2" t="str">
        <f>IF(Combined[[#This Row],[Have file]],IF(LEN(Combined[[#This Row],[Correct TVDB episode number for getting image url]])=0,"Find correct episode number for TheTVDB",""),"Find episode on the internet")</f>
        <v/>
      </c>
    </row>
    <row r="93" spans="1:14" x14ac:dyDescent="0.25">
      <c r="A93" t="str">
        <f>TVMaze[[#This Row],[Episode number]]</f>
        <v>S09E03</v>
      </c>
      <c r="B93" t="b">
        <f>IF(ISNUMBER(MATCH(Combined[Episode number from TVMaze],Files[Episode number],0)),TRUE,FALSE)</f>
        <v>1</v>
      </c>
      <c r="C93" t="str">
        <f>TVMaze[[#This Row],[Name]]</f>
        <v>Newport: The Newport Folly</v>
      </c>
      <c r="D93" t="str">
        <f>VLOOKUP(Combined[[#This Row],[Episode number from TVMaze]],TVDB[],2,FALSE)</f>
        <v>Newport: Folly</v>
      </c>
      <c r="E93" s="2" t="b">
        <f>_xlfn.IFNA(Combined[[#This Row],[Name from TVMaze]]=Combined[[#This Row],[Name from TVDB]],FALSE)</f>
        <v>0</v>
      </c>
      <c r="F93" s="2" t="s">
        <v>1316</v>
      </c>
      <c r="G93" s="3">
        <f>VLOOKUP(Combined[[#This Row],[Episode number from TVMaze]],TVMazePython[],3,FALSE)</f>
        <v>39855</v>
      </c>
      <c r="H93" s="2" t="str">
        <f>VLOOKUP(Combined[[#This Row],[Episode number from TVMaze]],TVMazePython[],4,FALSE)</f>
        <v>Sarah and Dean Berry grew up on a council estate in Newport. Having moved away to London and made good, they have now returned home 17 years later and bought an 18th-century folly – a castle perched on a hilltop. They not only plan to restore the folly to its former glory, but wrap a large modern extension around the original structure, with lots of glass to capitalise on the amazing views.</v>
      </c>
      <c r="I93" s="2" t="str">
        <f>VLOOKUP(Combined[[#This Row],[Episode number from TVMaze]],Files[],3,FALSE)</f>
        <v>/home/ziga/share/Series/Other/0 Home and Gardening/Grand Designs/Season 09/Grand Designs - S09E03 - Newport - The Newport Folly.avi</v>
      </c>
      <c r="J93" s="2" t="str">
        <f>CHAR(34)&amp;Combined[[#This Row],[Episode number from TVMaze]]&amp;CHAR(34)&amp;": "&amp;CHAR(34)&amp;Combined[[#This Row],[Path]]&amp;CHAR(34)&amp;","</f>
        <v>"S09E03": "/home/ziga/share/Series/Other/0 Home and Gardening/Grand Designs/Season 09/Grand Designs - S09E03 - Newport - The Newport Folly.avi",</v>
      </c>
      <c r="K93" s="2" t="str">
        <f>IF(Combined[[#This Row],[Is name same]],Combined[[#This Row],[Episode number from TVMaze]],IF(Combined[[#This Row],[NFO created]]="No need",Combined[[#This Row],[Episode number from TVMaze]],""))</f>
        <v>S09E03</v>
      </c>
      <c r="L93" s="2" t="str">
        <f>CHAR(34)&amp;Combined[[#This Row],[Episode number from TVMaze]]&amp;CHAR(34)&amp;": "&amp;CHAR(34)&amp;Combined[[#This Row],[Correct TVDB episode number for getting image url]]&amp;CHAR(34)&amp;","</f>
        <v>"S09E03": "S09E03",</v>
      </c>
      <c r="M93" s="2" t="b">
        <f>Combined[[#This Row],[Correct TVDB episode number for getting image url]]=Combined[[#This Row],[Episode number from TVMaze]]</f>
        <v>1</v>
      </c>
      <c r="N93" s="2" t="str">
        <f>IF(Combined[[#This Row],[Have file]],IF(LEN(Combined[[#This Row],[Correct TVDB episode number for getting image url]])=0,"Find correct episode number for TheTVDB",""),"Find episode on the internet")</f>
        <v/>
      </c>
    </row>
    <row r="94" spans="1:14" x14ac:dyDescent="0.25">
      <c r="A94" t="str">
        <f>TVMaze[[#This Row],[Episode number]]</f>
        <v>S09E04</v>
      </c>
      <c r="B94" t="b">
        <f>IF(ISNUMBER(MATCH(Combined[Episode number from TVMaze],Files[Episode number],0)),TRUE,FALSE)</f>
        <v>1</v>
      </c>
      <c r="C94" t="str">
        <f>TVMaze[[#This Row],[Name]]</f>
        <v>Kent: The Eco Arch</v>
      </c>
      <c r="D94" t="str">
        <f>VLOOKUP(Combined[[#This Row],[Episode number from TVMaze]],TVDB[],2,FALSE)</f>
        <v>Weald of Kent: Arched Eco House</v>
      </c>
      <c r="E94" s="2" t="b">
        <f>_xlfn.IFNA(Combined[[#This Row],[Name from TVMaze]]=Combined[[#This Row],[Name from TVDB]],FALSE)</f>
        <v>0</v>
      </c>
      <c r="F94" s="2" t="s">
        <v>1316</v>
      </c>
      <c r="G94" s="3">
        <f>VLOOKUP(Combined[[#This Row],[Episode number from TVMaze]],TVMazePython[],3,FALSE)</f>
        <v>39862</v>
      </c>
      <c r="H94" s="2" t="str">
        <f>VLOOKUP(Combined[[#This Row],[Episode number from TVMaze]],TVMazePython[],4,FALSE)</f>
        <v>Young architect Richard Hawkes and his wife Sophie have decided to move out of London to live the good life in the Kent countryside. They buy a plot of land on which they plan to grow their own food, and lead as sustainable a life as possible. For Richard it's an opportunity to experiment and build the house of his dreams, one that embraces cutting-edge green technologies and is capable of providing almost all its own energy.</v>
      </c>
      <c r="I94" s="2" t="str">
        <f>VLOOKUP(Combined[[#This Row],[Episode number from TVMaze]],Files[],3,FALSE)</f>
        <v>/home/ziga/share/Series/Other/0 Home and Gardening/Grand Designs/Season 09/Grand Designs - S09E04 - Kent - The Eco Arch.avi</v>
      </c>
      <c r="J94" s="2" t="str">
        <f>CHAR(34)&amp;Combined[[#This Row],[Episode number from TVMaze]]&amp;CHAR(34)&amp;": "&amp;CHAR(34)&amp;Combined[[#This Row],[Path]]&amp;CHAR(34)&amp;","</f>
        <v>"S09E04": "/home/ziga/share/Series/Other/0 Home and Gardening/Grand Designs/Season 09/Grand Designs - S09E04 - Kent - The Eco Arch.avi",</v>
      </c>
      <c r="K94" s="2" t="str">
        <f>IF(Combined[[#This Row],[Is name same]],Combined[[#This Row],[Episode number from TVMaze]],IF(Combined[[#This Row],[NFO created]]="No need",Combined[[#This Row],[Episode number from TVMaze]],""))</f>
        <v>S09E04</v>
      </c>
      <c r="L94" s="2" t="str">
        <f>CHAR(34)&amp;Combined[[#This Row],[Episode number from TVMaze]]&amp;CHAR(34)&amp;": "&amp;CHAR(34)&amp;Combined[[#This Row],[Correct TVDB episode number for getting image url]]&amp;CHAR(34)&amp;","</f>
        <v>"S09E04": "S09E04",</v>
      </c>
      <c r="M94" s="2" t="b">
        <f>Combined[[#This Row],[Correct TVDB episode number for getting image url]]=Combined[[#This Row],[Episode number from TVMaze]]</f>
        <v>1</v>
      </c>
      <c r="N94" s="2" t="str">
        <f>IF(Combined[[#This Row],[Have file]],IF(LEN(Combined[[#This Row],[Correct TVDB episode number for getting image url]])=0,"Find correct episode number for TheTVDB",""),"Find episode on the internet")</f>
        <v/>
      </c>
    </row>
    <row r="95" spans="1:14" x14ac:dyDescent="0.25">
      <c r="A95" t="str">
        <f>TVMaze[[#This Row],[Episode number]]</f>
        <v>S09E05</v>
      </c>
      <c r="B95" t="b">
        <f>IF(ISNUMBER(MATCH(Combined[Episode number from TVMaze],Files[Episode number],0)),TRUE,FALSE)</f>
        <v>1</v>
      </c>
      <c r="C95" t="str">
        <f>TVMaze[[#This Row],[Name]]</f>
        <v>Brittany: The Brittany Groundhouse</v>
      </c>
      <c r="D95" t="str">
        <f>VLOOKUP(Combined[[#This Row],[Episode number from TVMaze]],TVDB[],2,FALSE)</f>
        <v>Brittany: Groundhouse</v>
      </c>
      <c r="E95" s="2" t="b">
        <f>_xlfn.IFNA(Combined[[#This Row],[Name from TVMaze]]=Combined[[#This Row],[Name from TVDB]],FALSE)</f>
        <v>0</v>
      </c>
      <c r="F95" s="2" t="s">
        <v>1316</v>
      </c>
      <c r="G95" s="3">
        <f>VLOOKUP(Combined[[#This Row],[Episode number from TVMaze]],TVMazePython[],3,FALSE)</f>
        <v>39869</v>
      </c>
      <c r="H95" s="2" t="str">
        <f>VLOOKUP(Combined[[#This Row],[Episode number from TVMaze]],TVMazePython[],4,FALSE)</f>
        <v>Daren Howarth and partner Adi Nortje live in Brighton, and are champions of sustainable living. They want to build an earth-sheltered home from recycled materials, based on ideas pioneered in the 1970s in New Mexico. But land prices and planning laws have forced them out of England, across the Channel to Brittany, in France.</v>
      </c>
      <c r="I95" s="2" t="str">
        <f>VLOOKUP(Combined[[#This Row],[Episode number from TVMaze]],Files[],3,FALSE)</f>
        <v>/home/ziga/share/Series/Other/0 Home and Gardening/Grand Designs/Season 09/Grand Designs - S09E05 - Brittany - The Brittany Groundhouse.avi</v>
      </c>
      <c r="J95" s="2" t="str">
        <f>CHAR(34)&amp;Combined[[#This Row],[Episode number from TVMaze]]&amp;CHAR(34)&amp;": "&amp;CHAR(34)&amp;Combined[[#This Row],[Path]]&amp;CHAR(34)&amp;","</f>
        <v>"S09E05": "/home/ziga/share/Series/Other/0 Home and Gardening/Grand Designs/Season 09/Grand Designs - S09E05 - Brittany - The Brittany Groundhouse.avi",</v>
      </c>
      <c r="K95" s="2" t="str">
        <f>IF(Combined[[#This Row],[Is name same]],Combined[[#This Row],[Episode number from TVMaze]],IF(Combined[[#This Row],[NFO created]]="No need",Combined[[#This Row],[Episode number from TVMaze]],""))</f>
        <v>S09E05</v>
      </c>
      <c r="L95" s="2" t="str">
        <f>CHAR(34)&amp;Combined[[#This Row],[Episode number from TVMaze]]&amp;CHAR(34)&amp;": "&amp;CHAR(34)&amp;Combined[[#This Row],[Correct TVDB episode number for getting image url]]&amp;CHAR(34)&amp;","</f>
        <v>"S09E05": "S09E05",</v>
      </c>
      <c r="M95" s="2" t="b">
        <f>Combined[[#This Row],[Correct TVDB episode number for getting image url]]=Combined[[#This Row],[Episode number from TVMaze]]</f>
        <v>1</v>
      </c>
      <c r="N95" s="2" t="str">
        <f>IF(Combined[[#This Row],[Have file]],IF(LEN(Combined[[#This Row],[Correct TVDB episode number for getting image url]])=0,"Find correct episode number for TheTVDB",""),"Find episode on the internet")</f>
        <v/>
      </c>
    </row>
    <row r="96" spans="1:14" x14ac:dyDescent="0.25">
      <c r="A96" t="str">
        <f>TVMaze[[#This Row],[Episode number]]</f>
        <v>S09E06</v>
      </c>
      <c r="B96" t="b">
        <f>IF(ISNUMBER(MATCH(Combined[Episode number from TVMaze],Files[Episode number],0)),TRUE,FALSE)</f>
        <v>1</v>
      </c>
      <c r="C96" t="str">
        <f>TVMaze[[#This Row],[Name]]</f>
        <v>Wiltshire: The Marlborough Farm House</v>
      </c>
      <c r="D96" t="str">
        <f>VLOOKUP(Combined[[#This Row],[Episode number from TVMaze]],TVDB[],2,FALSE)</f>
        <v>Marlborough: 21st Century Farmhouse</v>
      </c>
      <c r="E96" s="2" t="b">
        <f>_xlfn.IFNA(Combined[[#This Row],[Name from TVMaze]]=Combined[[#This Row],[Name from TVDB]],FALSE)</f>
        <v>0</v>
      </c>
      <c r="F96" s="2" t="s">
        <v>1316</v>
      </c>
      <c r="G96" s="3">
        <f>VLOOKUP(Combined[[#This Row],[Episode number from TVMaze]],TVMazePython[],3,FALSE)</f>
        <v>39876</v>
      </c>
      <c r="H96" s="2" t="str">
        <f>VLOOKUP(Combined[[#This Row],[Episode number from TVMaze]],TVMazePython[],4,FALSE)</f>
        <v>Kevin McCloud meets dairy farmer Andrew Ainslie and his artist wife Meryl, who runs a gallery on their farm in Wiltshire. But their farmhouse has been separated from their land by the expanding village, and Andrew and Meryl want to build a new house at the heart of their farm, so they can keep an eye on their herd of 200 cattle.</v>
      </c>
      <c r="I96" s="2" t="str">
        <f>VLOOKUP(Combined[[#This Row],[Episode number from TVMaze]],Files[],3,FALSE)</f>
        <v>/home/ziga/share/Series/Other/0 Home and Gardening/Grand Designs/Season 09/Grand Designs - S09E06 - Wiltshire - The Marlborough Farm House.avi</v>
      </c>
      <c r="J96" s="2" t="str">
        <f>CHAR(34)&amp;Combined[[#This Row],[Episode number from TVMaze]]&amp;CHAR(34)&amp;": "&amp;CHAR(34)&amp;Combined[[#This Row],[Path]]&amp;CHAR(34)&amp;","</f>
        <v>"S09E06": "/home/ziga/share/Series/Other/0 Home and Gardening/Grand Designs/Season 09/Grand Designs - S09E06 - Wiltshire - The Marlborough Farm House.avi",</v>
      </c>
      <c r="K96" s="2" t="str">
        <f>IF(Combined[[#This Row],[Is name same]],Combined[[#This Row],[Episode number from TVMaze]],IF(Combined[[#This Row],[NFO created]]="No need",Combined[[#This Row],[Episode number from TVMaze]],""))</f>
        <v>S09E06</v>
      </c>
      <c r="L96" s="2" t="str">
        <f>CHAR(34)&amp;Combined[[#This Row],[Episode number from TVMaze]]&amp;CHAR(34)&amp;": "&amp;CHAR(34)&amp;Combined[[#This Row],[Correct TVDB episode number for getting image url]]&amp;CHAR(34)&amp;","</f>
        <v>"S09E06": "S09E06",</v>
      </c>
      <c r="M96" s="2" t="b">
        <f>Combined[[#This Row],[Correct TVDB episode number for getting image url]]=Combined[[#This Row],[Episode number from TVMaze]]</f>
        <v>1</v>
      </c>
      <c r="N96" s="2" t="str">
        <f>IF(Combined[[#This Row],[Have file]],IF(LEN(Combined[[#This Row],[Correct TVDB episode number for getting image url]])=0,"Find correct episode number for TheTVDB",""),"Find episode on the internet")</f>
        <v/>
      </c>
    </row>
    <row r="97" spans="1:14" x14ac:dyDescent="0.25">
      <c r="A97" t="str">
        <f>TVMaze[[#This Row],[Episode number]]</f>
        <v>S09E07</v>
      </c>
      <c r="B97" t="b">
        <f>IF(ISNUMBER(MATCH(Combined[Episode number from TVMaze],Files[Episode number],0)),TRUE,FALSE)</f>
        <v>1</v>
      </c>
      <c r="C97" t="str">
        <f>TVMaze[[#This Row],[Name]]</f>
        <v>Kent: The Headcorn Minimalist House</v>
      </c>
      <c r="D97" t="str">
        <f>VLOOKUP(Combined[[#This Row],[Episode number from TVMaze]],TVDB[],2,FALSE)</f>
        <v>Headcorn: Modular House</v>
      </c>
      <c r="E97" s="2" t="b">
        <f>_xlfn.IFNA(Combined[[#This Row],[Name from TVMaze]]=Combined[[#This Row],[Name from TVDB]],FALSE)</f>
        <v>0</v>
      </c>
      <c r="F97" s="2" t="s">
        <v>1316</v>
      </c>
      <c r="G97" s="3">
        <f>VLOOKUP(Combined[[#This Row],[Episode number from TVMaze]],TVMazePython[],3,FALSE)</f>
        <v>39883</v>
      </c>
      <c r="H97" s="2" t="str">
        <f>VLOOKUP(Combined[[#This Row],[Episode number from TVMaze]],TVMazePython[],4,FALSE)</f>
        <v>Mimi D'Costa and her husband Andre have moved to the Kent countryside to bring up their two boys. They have bought a large plot of land and want to build a home on it that is functional enough to serve their young family, but that will also blend beautifully into the landscape.</v>
      </c>
      <c r="I97" s="2" t="str">
        <f>VLOOKUP(Combined[[#This Row],[Episode number from TVMaze]],Files[],3,FALSE)</f>
        <v>/home/ziga/share/Series/Other/0 Home and Gardening/Grand Designs/Season 09/Grand Designs - S09E07 - Kent - The Headcorn Minimalist House.avi</v>
      </c>
      <c r="J97" s="2" t="str">
        <f>CHAR(34)&amp;Combined[[#This Row],[Episode number from TVMaze]]&amp;CHAR(34)&amp;": "&amp;CHAR(34)&amp;Combined[[#This Row],[Path]]&amp;CHAR(34)&amp;","</f>
        <v>"S09E07": "/home/ziga/share/Series/Other/0 Home and Gardening/Grand Designs/Season 09/Grand Designs - S09E07 - Kent - The Headcorn Minimalist House.avi",</v>
      </c>
      <c r="K97" s="2" t="str">
        <f>IF(Combined[[#This Row],[Is name same]],Combined[[#This Row],[Episode number from TVMaze]],IF(Combined[[#This Row],[NFO created]]="No need",Combined[[#This Row],[Episode number from TVMaze]],""))</f>
        <v>S09E07</v>
      </c>
      <c r="L97" s="2" t="str">
        <f>CHAR(34)&amp;Combined[[#This Row],[Episode number from TVMaze]]&amp;CHAR(34)&amp;": "&amp;CHAR(34)&amp;Combined[[#This Row],[Correct TVDB episode number for getting image url]]&amp;CHAR(34)&amp;","</f>
        <v>"S09E07": "S09E07",</v>
      </c>
      <c r="M97" s="2" t="b">
        <f>Combined[[#This Row],[Correct TVDB episode number for getting image url]]=Combined[[#This Row],[Episode number from TVMaze]]</f>
        <v>1</v>
      </c>
      <c r="N97" s="2" t="str">
        <f>IF(Combined[[#This Row],[Have file]],IF(LEN(Combined[[#This Row],[Correct TVDB episode number for getting image url]])=0,"Find correct episode number for TheTVDB",""),"Find episode on the internet")</f>
        <v/>
      </c>
    </row>
    <row r="98" spans="1:14" x14ac:dyDescent="0.25">
      <c r="A98" t="str">
        <f>TVMaze[[#This Row],[Episode number]]</f>
        <v>S09E08</v>
      </c>
      <c r="B98" t="b">
        <f>IF(ISNUMBER(MATCH(Combined[Episode number from TVMaze],Files[Episode number],0)),TRUE,FALSE)</f>
        <v>1</v>
      </c>
      <c r="C98" t="str">
        <f>TVMaze[[#This Row],[Name]]</f>
        <v>Revisited: The 14th Century Castle (Revisited from S7 Ep1)</v>
      </c>
      <c r="D98" t="str">
        <f>VLOOKUP(Combined[[#This Row],[Episode number from TVMaze]],TVDB[],2,FALSE)</f>
        <v>Brighton: Ultra Contemporary Mansion</v>
      </c>
      <c r="E98" s="2" t="b">
        <f>_xlfn.IFNA(Combined[[#This Row],[Name from TVMaze]]=Combined[[#This Row],[Name from TVDB]],FALSE)</f>
        <v>0</v>
      </c>
      <c r="F98" s="2"/>
      <c r="G98" s="3">
        <f>VLOOKUP(Combined[[#This Row],[Episode number from TVMaze]],TVMazePython[],3,FALSE)</f>
        <v>39890</v>
      </c>
      <c r="H98" s="2" t="str">
        <f>VLOOKUP(Combined[[#This Row],[Episode number from TVMaze]],TVMazePython[],4,FALSE)</f>
        <v>Not everyone gets to live out their childhood dreams, but Francis Shaw did exactly that when he bought a crumbling castle on English Heritage's Buildings at Risk Register. Little did he know what he was letting himself and his family in for. In the heart of the Yorkshire Dales, the peel tower dates back to the 15th century and was protected as a Scheduled Ancient Monument. Kevin McCloud returns in this program to see if their dreams have become a reality.</v>
      </c>
      <c r="I98" s="2" t="str">
        <f>VLOOKUP(Combined[[#This Row],[Episode number from TVMaze]],Files[],3,FALSE)</f>
        <v>/home/ziga/share/Series/Other/0 Home and Gardening/Grand Designs/Season 09/Grand Designs - S09E08 - Revisited - The 14th Century Castle (Revisited from S7 Ep1).avi</v>
      </c>
      <c r="J98" s="2" t="str">
        <f>CHAR(34)&amp;Combined[[#This Row],[Episode number from TVMaze]]&amp;CHAR(34)&amp;": "&amp;CHAR(34)&amp;Combined[[#This Row],[Path]]&amp;CHAR(34)&amp;","</f>
        <v>"S09E08": "/home/ziga/share/Series/Other/0 Home and Gardening/Grand Designs/Season 09/Grand Designs - S09E08 - Revisited - The 14th Century Castle (Revisited from S7 Ep1).avi",</v>
      </c>
      <c r="K98" s="2" t="s">
        <v>901</v>
      </c>
      <c r="L98" s="2" t="str">
        <f>CHAR(34)&amp;Combined[[#This Row],[Episode number from TVMaze]]&amp;CHAR(34)&amp;": "&amp;CHAR(34)&amp;Combined[[#This Row],[Correct TVDB episode number for getting image url]]&amp;CHAR(34)&amp;","</f>
        <v>"S09E08": "S07E09",</v>
      </c>
      <c r="M98" s="2" t="b">
        <f>Combined[[#This Row],[Correct TVDB episode number for getting image url]]=Combined[[#This Row],[Episode number from TVMaze]]</f>
        <v>0</v>
      </c>
      <c r="N98" s="2" t="str">
        <f>IF(Combined[[#This Row],[Have file]],IF(LEN(Combined[[#This Row],[Correct TVDB episode number for getting image url]])=0,"Find correct episode number for TheTVDB",""),"Find episode on the internet")</f>
        <v/>
      </c>
    </row>
    <row r="99" spans="1:14" x14ac:dyDescent="0.25">
      <c r="A99" t="str">
        <f>TVMaze[[#This Row],[Episode number]]</f>
        <v>S09E09</v>
      </c>
      <c r="B99" t="b">
        <f>IF(ISNUMBER(MATCH(Combined[Episode number from TVMaze],Files[Episode number],0)),TRUE,FALSE)</f>
        <v>1</v>
      </c>
      <c r="C99" t="str">
        <f>TVMaze[[#This Row],[Name]]</f>
        <v>Revisited - Cambridgeshire: The Cambridgeshire Eco Home (Revisited from S7 Ep10)</v>
      </c>
      <c r="D99" t="str">
        <f>VLOOKUP(Combined[[#This Row],[Episode number from TVMaze]],TVDB[],2,FALSE)</f>
        <v>Revisited - Brittany: Groundhouse</v>
      </c>
      <c r="E99" s="2" t="b">
        <f>_xlfn.IFNA(Combined[[#This Row],[Name from TVMaze]]=Combined[[#This Row],[Name from TVDB]],FALSE)</f>
        <v>0</v>
      </c>
      <c r="F99" s="2"/>
      <c r="G99" s="3">
        <f>VLOOKUP(Combined[[#This Row],[Episode number from TVMaze]],TVMazePython[],3,FALSE)</f>
        <v>39897</v>
      </c>
      <c r="H99" s="2" t="str">
        <f>VLOOKUP(Combined[[#This Row],[Episode number from TVMaze]],TVMazePython[],4,FALSE)</f>
        <v>In 2005, Kelly and Masoko Neville set about building a spectacular oak framed and straw baled hexagonal house in the Cambridgeshire Fens. Kelly, a carpenter, had always dreamed of building an eco-friendly home that could provide a base for a new self-sufficient life where he and Masoko could produce their own food and energy from the land. Kevin returns to see their progress from series 7.</v>
      </c>
      <c r="I99" s="2" t="str">
        <f>VLOOKUP(Combined[[#This Row],[Episode number from TVMaze]],Files[],3,FALSE)</f>
        <v>/home/ziga/share/Series/Other/0 Home and Gardening/Grand Designs/Season 09/Grand Designs - S09E09 - Revisited - Cambridgeshire - The Cambridgeshire Eco Home (Revisited from S7 Ep10).avi</v>
      </c>
      <c r="J99" s="2" t="str">
        <f>CHAR(34)&amp;Combined[[#This Row],[Episode number from TVMaze]]&amp;CHAR(34)&amp;": "&amp;CHAR(34)&amp;Combined[[#This Row],[Path]]&amp;CHAR(34)&amp;","</f>
        <v>"S09E09": "/home/ziga/share/Series/Other/0 Home and Gardening/Grand Designs/Season 09/Grand Designs - S09E09 - Revisited - Cambridgeshire - The Cambridgeshire Eco Home (Revisited from S7 Ep10).avi",</v>
      </c>
      <c r="K99" s="2" t="s">
        <v>902</v>
      </c>
      <c r="L99" s="2" t="str">
        <f>CHAR(34)&amp;Combined[[#This Row],[Episode number from TVMaze]]&amp;CHAR(34)&amp;": "&amp;CHAR(34)&amp;Combined[[#This Row],[Correct TVDB episode number for getting image url]]&amp;CHAR(34)&amp;","</f>
        <v>"S09E09": "S07E10",</v>
      </c>
      <c r="M99" s="2" t="b">
        <f>Combined[[#This Row],[Correct TVDB episode number for getting image url]]=Combined[[#This Row],[Episode number from TVMaze]]</f>
        <v>0</v>
      </c>
      <c r="N99" s="2" t="str">
        <f>IF(Combined[[#This Row],[Have file]],IF(LEN(Combined[[#This Row],[Correct TVDB episode number for getting image url]])=0,"Find correct episode number for TheTVDB",""),"Find episode on the internet")</f>
        <v/>
      </c>
    </row>
    <row r="100" spans="1:14" x14ac:dyDescent="0.25">
      <c r="A100" t="str">
        <f>TVMaze[[#This Row],[Episode number]]</f>
        <v>S09E10</v>
      </c>
      <c r="B100" t="b">
        <f>IF(ISNUMBER(MATCH(Combined[Episode number from TVMaze],Files[Episode number],0)),TRUE,FALSE)</f>
        <v>1</v>
      </c>
      <c r="C100" t="str">
        <f>TVMaze[[#This Row],[Name]]</f>
        <v>Brighton: The Brighton Modern Mansion</v>
      </c>
      <c r="D100" t="str">
        <f>VLOOKUP(Combined[[#This Row],[Episode number from TVMaze]],TVDB[],2,FALSE)</f>
        <v>Revisited - Weald of Kent: Arched Eco House</v>
      </c>
      <c r="E100" s="2" t="b">
        <f>_xlfn.IFNA(Combined[[#This Row],[Name from TVMaze]]=Combined[[#This Row],[Name from TVDB]],FALSE)</f>
        <v>0</v>
      </c>
      <c r="F100" s="2"/>
      <c r="G100" s="3">
        <f>VLOOKUP(Combined[[#This Row],[Episode number from TVMaze]],TVMazePython[],3,FALSE)</f>
        <v>39911</v>
      </c>
      <c r="H100" s="2" t="str">
        <f>VLOOKUP(Combined[[#This Row],[Episode number from TVMaze]],TVMazePython[],4,FALSE)</f>
        <v>Barry Surtees, a self-made property developer, his wife Julie and their teenage children live in a large comfortable house in Brighton's most moneyed suburb. Barry decides to build a four storey modern mansion, complete with pool, gym, artist's studio, fantasy bedroom and Japanese roof garden.</v>
      </c>
      <c r="I100" s="2" t="str">
        <f>VLOOKUP(Combined[[#This Row],[Episode number from TVMaze]],Files[],3,FALSE)</f>
        <v>/home/ziga/share/Series/Other/0 Home and Gardening/Grand Designs/Season 09/Grand Designs - S09E10 - Brighton - The Brighton Modern Mansion.avi</v>
      </c>
      <c r="J100" s="2" t="str">
        <f>CHAR(34)&amp;Combined[[#This Row],[Episode number from TVMaze]]&amp;CHAR(34)&amp;": "&amp;CHAR(34)&amp;Combined[[#This Row],[Path]]&amp;CHAR(34)&amp;","</f>
        <v>"S09E10": "/home/ziga/share/Series/Other/0 Home and Gardening/Grand Designs/Season 09/Grand Designs - S09E10 - Brighton - The Brighton Modern Mansion.avi",</v>
      </c>
      <c r="K100" s="2" t="s">
        <v>920</v>
      </c>
      <c r="L100" s="2" t="str">
        <f>CHAR(34)&amp;Combined[[#This Row],[Episode number from TVMaze]]&amp;CHAR(34)&amp;": "&amp;CHAR(34)&amp;Combined[[#This Row],[Correct TVDB episode number for getting image url]]&amp;CHAR(34)&amp;","</f>
        <v>"S09E10": "S09E08",</v>
      </c>
      <c r="M100" s="2" t="b">
        <f>Combined[[#This Row],[Correct TVDB episode number for getting image url]]=Combined[[#This Row],[Episode number from TVMaze]]</f>
        <v>0</v>
      </c>
      <c r="N100" s="2" t="str">
        <f>IF(Combined[[#This Row],[Have file]],IF(LEN(Combined[[#This Row],[Correct TVDB episode number for getting image url]])=0,"Find correct episode number for TheTVDB",""),"Find episode on the internet")</f>
        <v/>
      </c>
    </row>
    <row r="101" spans="1:14" x14ac:dyDescent="0.25">
      <c r="A101" t="str">
        <f>TVMaze[[#This Row],[Episode number]]</f>
        <v>S09E11</v>
      </c>
      <c r="B101" t="b">
        <f>IF(ISNUMBER(MATCH(Combined[Episode number from TVMaze],Files[Episode number],0)),TRUE,FALSE)</f>
        <v>1</v>
      </c>
      <c r="C101" t="str">
        <f>TVMaze[[#This Row],[Name]]</f>
        <v>Revisited - Hampshire: The Thatched Cottage (Revisited from S7 Ep2)</v>
      </c>
      <c r="D101" t="str">
        <f>VLOOKUP(Combined[[#This Row],[Episode number from TVMaze]],TVDB[],2,FALSE)</f>
        <v>Revisited - The Headcorn: Modular House</v>
      </c>
      <c r="E101" s="2" t="b">
        <f>_xlfn.IFNA(Combined[[#This Row],[Name from TVMaze]]=Combined[[#This Row],[Name from TVDB]],FALSE)</f>
        <v>0</v>
      </c>
      <c r="F101" s="2"/>
      <c r="G101" s="3">
        <f>VLOOKUP(Combined[[#This Row],[Episode number from TVMaze]],TVMazePython[],3,FALSE)</f>
        <v>39918</v>
      </c>
      <c r="H101" s="2" t="str">
        <f>VLOOKUP(Combined[[#This Row],[Episode number from TVMaze]],TVMazePython[],4,FALSE)</f>
        <v>Kevin McCloud revisits Alex and Cheryl Reay, who eight years previous had left London for a new life in the New Forest. They bought a run down medieval thatched cottage and lovingly brought it back to life. Then just before Christmas, with Cheryl pregnant, disaster struck. A fault in the chimney caused a massive fire which destroyed the entire building. Overnight Alex and Cheryl had lost almost £400,000. Whilst most people would have walked away from this, Alex and Cheryl couldn't let go of their dream. Nine months after the fire, they decided to start all over again and rebuild the cottage, bigger and better than before.</v>
      </c>
      <c r="I101" s="2" t="str">
        <f>VLOOKUP(Combined[[#This Row],[Episode number from TVMaze]],Files[],3,FALSE)</f>
        <v>/home/ziga/share/Series/Other/0 Home and Gardening/Grand Designs/Season 09/Grand Designs - S09E11 - Revisited - Hampshire - The Thatched Cottage (Revisited from S7 Ep2).avi</v>
      </c>
      <c r="J101" s="2" t="str">
        <f>CHAR(34)&amp;Combined[[#This Row],[Episode number from TVMaze]]&amp;CHAR(34)&amp;": "&amp;CHAR(34)&amp;Combined[[#This Row],[Path]]&amp;CHAR(34)&amp;","</f>
        <v>"S09E11": "/home/ziga/share/Series/Other/0 Home and Gardening/Grand Designs/Season 09/Grand Designs - S09E11 - Revisited - Hampshire - The Thatched Cottage (Revisited from S7 Ep2).avi",</v>
      </c>
      <c r="K101" s="2" t="s">
        <v>903</v>
      </c>
      <c r="L101" s="2" t="str">
        <f>CHAR(34)&amp;Combined[[#This Row],[Episode number from TVMaze]]&amp;CHAR(34)&amp;": "&amp;CHAR(34)&amp;Combined[[#This Row],[Correct TVDB episode number for getting image url]]&amp;CHAR(34)&amp;","</f>
        <v>"S09E11": "S07E11",</v>
      </c>
      <c r="M101" s="2" t="b">
        <f>Combined[[#This Row],[Correct TVDB episode number for getting image url]]=Combined[[#This Row],[Episode number from TVMaze]]</f>
        <v>0</v>
      </c>
      <c r="N101" s="2" t="str">
        <f>IF(Combined[[#This Row],[Have file]],IF(LEN(Combined[[#This Row],[Correct TVDB episode number for getting image url]])=0,"Find correct episode number for TheTVDB",""),"Find episode on the internet")</f>
        <v/>
      </c>
    </row>
    <row r="102" spans="1:14" x14ac:dyDescent="0.25">
      <c r="A102" t="str">
        <f>TVMaze[[#This Row],[Episode number]]</f>
        <v>S09E12</v>
      </c>
      <c r="B102" t="b">
        <f>IF(ISNUMBER(MATCH(Combined[Episode number from TVMaze],Files[Episode number],0)),TRUE,FALSE)</f>
        <v>1</v>
      </c>
      <c r="C102" t="str">
        <f>TVMaze[[#This Row],[Name]]</f>
        <v>Revisited - Killearn, Scotland: The Loch House (Revisited from S6 Ep1)</v>
      </c>
      <c r="D102" t="e">
        <f>VLOOKUP(Combined[[#This Row],[Episode number from TVMaze]],TVDB[],2,FALSE)</f>
        <v>#N/A</v>
      </c>
      <c r="E102" s="2" t="b">
        <f>_xlfn.IFNA(Combined[[#This Row],[Name from TVMaze]]=Combined[[#This Row],[Name from TVDB]],FALSE)</f>
        <v>0</v>
      </c>
      <c r="F102" s="2"/>
      <c r="G102" s="3">
        <f>VLOOKUP(Combined[[#This Row],[Episode number from TVMaze]],TVMazePython[],3,FALSE)</f>
        <v>39925</v>
      </c>
      <c r="H102" s="2" t="str">
        <f>VLOOKUP(Combined[[#This Row],[Episode number from TVMaze]],TVMazePython[],4,FALSE)</f>
        <v>In 2005, businessman Jim Fairfull and his wife Simone set out to build a glass pavilion by a loch in Scotland. Jim was suffering from a stress-related disease and hoped that living in a tranquil setting might cure him of his condition. But there is nothing calm about the process of building, and with such a beautiful location, it was a challenge to find a design that would do it justice and appease local planners. Kevin catches up with the couple to see how their build was getting on.</v>
      </c>
      <c r="I102" s="2" t="str">
        <f>VLOOKUP(Combined[[#This Row],[Episode number from TVMaze]],Files[],3,FALSE)</f>
        <v>/home/ziga/share/Series/Other/0 Home and Gardening/Grand Designs/Season 09/Grand Designs - S09E12 - Revisited - Killearn Scotland - The Loch House (Revisited from S6 Ep1).avi</v>
      </c>
      <c r="J102" s="2" t="str">
        <f>CHAR(34)&amp;Combined[[#This Row],[Episode number from TVMaze]]&amp;CHAR(34)&amp;": "&amp;CHAR(34)&amp;Combined[[#This Row],[Path]]&amp;CHAR(34)&amp;","</f>
        <v>"S09E12": "/home/ziga/share/Series/Other/0 Home and Gardening/Grand Designs/Season 09/Grand Designs - S09E12 - Revisited - Killearn Scotland - The Loch House (Revisited from S6 Ep1).avi",</v>
      </c>
      <c r="K102" s="2" t="s">
        <v>891</v>
      </c>
      <c r="L102" s="2" t="str">
        <f>CHAR(34)&amp;Combined[[#This Row],[Episode number from TVMaze]]&amp;CHAR(34)&amp;": "&amp;CHAR(34)&amp;Combined[[#This Row],[Correct TVDB episode number for getting image url]]&amp;CHAR(34)&amp;","</f>
        <v>"S09E12": "S06E06",</v>
      </c>
      <c r="M102" s="2" t="b">
        <f>Combined[[#This Row],[Correct TVDB episode number for getting image url]]=Combined[[#This Row],[Episode number from TVMaze]]</f>
        <v>0</v>
      </c>
      <c r="N102" s="2" t="str">
        <f>IF(Combined[[#This Row],[Have file]],IF(LEN(Combined[[#This Row],[Correct TVDB episode number for getting image url]])=0,"Find correct episode number for TheTVDB",""),"Find episode on the internet")</f>
        <v/>
      </c>
    </row>
    <row r="103" spans="1:14" x14ac:dyDescent="0.25">
      <c r="A103" t="str">
        <f>TVMaze[[#This Row],[Episode number]]</f>
        <v>S09E13</v>
      </c>
      <c r="B103" t="b">
        <f>IF(ISNUMBER(MATCH(Combined[Episode number from TVMaze],Files[Episode number],0)),TRUE,FALSE)</f>
        <v>1</v>
      </c>
      <c r="C103" t="str">
        <f>TVMaze[[#This Row],[Name]]</f>
        <v>2nd Revisit - Sussex: The Woodsmans Cottage (Revisited from S3 Ep3 &amp; S5 Ep8)</v>
      </c>
      <c r="D103" t="e">
        <f>VLOOKUP(Combined[[#This Row],[Episode number from TVMaze]],TVDB[],2,FALSE)</f>
        <v>#N/A</v>
      </c>
      <c r="E103" s="2" t="b">
        <f>_xlfn.IFNA(Combined[[#This Row],[Name from TVMaze]]=Combined[[#This Row],[Name from TVDB]],FALSE)</f>
        <v>0</v>
      </c>
      <c r="F103" s="2"/>
      <c r="G103" s="3">
        <f>VLOOKUP(Combined[[#This Row],[Episode number from TVMaze]],TVMazePython[],3,FALSE)</f>
        <v>39932</v>
      </c>
      <c r="H103" s="2" t="str">
        <f>VLOOKUP(Combined[[#This Row],[Episode number from TVMaze]],TVMazePython[],4,FALSE)</f>
        <v>For 10 years, woodsman Ben Law fought for planning permission to build himself a house in the heart of the woods where he worked. But there was a condition attached: he could never sell the house, only pass it on to his successor. Ben wanted his home to be totally self-sufficient with no mains services, and decided to build it using only materials from the woods, using techniques pretty similar to those used a thousand years ago. Kevin catches up with Ben to see how he and his house are doing.</v>
      </c>
      <c r="I103" s="2" t="str">
        <f>VLOOKUP(Combined[[#This Row],[Episode number from TVMaze]],Files[],3,FALSE)</f>
        <v>/home/ziga/share/Series/Other/0 Home and Gardening/Grand Designs/Season 09/Grand Designs - S09E13 - 2nd Revisit - Sussex - The Woodsmans Cottage (Revisited from S3 Ep3 &amp; S5 Ep8).avi</v>
      </c>
      <c r="J103" s="2" t="str">
        <f>CHAR(34)&amp;Combined[[#This Row],[Episode number from TVMaze]]&amp;CHAR(34)&amp;": "&amp;CHAR(34)&amp;Combined[[#This Row],[Path]]&amp;CHAR(34)&amp;","</f>
        <v>"S09E13": "/home/ziga/share/Series/Other/0 Home and Gardening/Grand Designs/Season 09/Grand Designs - S09E13 - 2nd Revisit - Sussex - The Woodsmans Cottage (Revisited from S3 Ep3 &amp; S5 Ep8).avi",</v>
      </c>
      <c r="K103" s="2" t="s">
        <v>863</v>
      </c>
      <c r="L103" s="2" t="str">
        <f>CHAR(34)&amp;Combined[[#This Row],[Episode number from TVMaze]]&amp;CHAR(34)&amp;": "&amp;CHAR(34)&amp;Combined[[#This Row],[Correct TVDB episode number for getting image url]]&amp;CHAR(34)&amp;","</f>
        <v>"S09E13": "S03E15",</v>
      </c>
      <c r="M103" s="2" t="b">
        <f>Combined[[#This Row],[Correct TVDB episode number for getting image url]]=Combined[[#This Row],[Episode number from TVMaze]]</f>
        <v>0</v>
      </c>
      <c r="N103" s="2" t="str">
        <f>IF(Combined[[#This Row],[Have file]],IF(LEN(Combined[[#This Row],[Correct TVDB episode number for getting image url]])=0,"Find correct episode number for TheTVDB",""),"Find episode on the internet")</f>
        <v/>
      </c>
    </row>
    <row r="104" spans="1:14" x14ac:dyDescent="0.25">
      <c r="A104" t="str">
        <f>TVMaze[[#This Row],[Episode number]]</f>
        <v>S10E01</v>
      </c>
      <c r="B104" t="b">
        <f>IF(ISNUMBER(MATCH(Combined[Episode number from TVMaze],Files[Episode number],0)),TRUE,FALSE)</f>
        <v>1</v>
      </c>
      <c r="C104" t="str">
        <f>TVMaze[[#This Row],[Name]]</f>
        <v>Isle of Wight: The Tree House</v>
      </c>
      <c r="D104" t="str">
        <f>VLOOKUP(Combined[[#This Row],[Episode number from TVMaze]],TVDB[],2,FALSE)</f>
        <v>Isle of Wight: The Tree House</v>
      </c>
      <c r="E104" s="2" t="b">
        <f>_xlfn.IFNA(Combined[[#This Row],[Name from TVMaze]]=Combined[[#This Row],[Name from TVDB]],FALSE)</f>
        <v>1</v>
      </c>
      <c r="F104" s="2"/>
      <c r="G104" s="3">
        <f>VLOOKUP(Combined[[#This Row],[Episode number from TVMaze]],TVMazePython[],3,FALSE)</f>
        <v>40436</v>
      </c>
      <c r="H104" s="2" t="str">
        <f>VLOOKUP(Combined[[#This Row],[Episode number from TVMaze]],TVMazePython[],4,FALSE)</f>
        <v>Lincoln Miles and his wife Lisa Traxler modernise a stone-clad bungalow on the Isle of Wight.</v>
      </c>
      <c r="I104" s="2" t="str">
        <f>VLOOKUP(Combined[[#This Row],[Episode number from TVMaze]],Files[],3,FALSE)</f>
        <v>/home/ziga/share/Series/Other/0 Home and Gardening/Grand Designs/Season 10/Grand Designs - S10E01 - Isle of Wight - The Tree House.avi</v>
      </c>
      <c r="J104" s="2" t="str">
        <f>CHAR(34)&amp;Combined[[#This Row],[Episode number from TVMaze]]&amp;CHAR(34)&amp;": "&amp;CHAR(34)&amp;Combined[[#This Row],[Path]]&amp;CHAR(34)&amp;","</f>
        <v>"S10E01": "/home/ziga/share/Series/Other/0 Home and Gardening/Grand Designs/Season 10/Grand Designs - S10E01 - Isle of Wight - The Tree House.avi",</v>
      </c>
      <c r="K104" s="2" t="str">
        <f>IF(Combined[[#This Row],[Is name same]],Combined[[#This Row],[Episode number from TVMaze]],IF(Combined[[#This Row],[NFO created]]="No need",Combined[[#This Row],[Episode number from TVMaze]],""))</f>
        <v>S10E01</v>
      </c>
      <c r="L104" s="2" t="str">
        <f>CHAR(34)&amp;Combined[[#This Row],[Episode number from TVMaze]]&amp;CHAR(34)&amp;": "&amp;CHAR(34)&amp;Combined[[#This Row],[Correct TVDB episode number for getting image url]]&amp;CHAR(34)&amp;","</f>
        <v>"S10E01": "S10E01",</v>
      </c>
      <c r="M104" s="2" t="b">
        <f>Combined[[#This Row],[Correct TVDB episode number for getting image url]]=Combined[[#This Row],[Episode number from TVMaze]]</f>
        <v>1</v>
      </c>
      <c r="N104" s="2" t="str">
        <f>IF(Combined[[#This Row],[Have file]],IF(LEN(Combined[[#This Row],[Correct TVDB episode number for getting image url]])=0,"Find correct episode number for TheTVDB",""),"Find episode on the internet")</f>
        <v/>
      </c>
    </row>
    <row r="105" spans="1:14" x14ac:dyDescent="0.25">
      <c r="A105" t="str">
        <f>TVMaze[[#This Row],[Episode number]]</f>
        <v>S10E02</v>
      </c>
      <c r="B105" t="b">
        <f>IF(ISNUMBER(MATCH(Combined[Episode number from TVMaze],Files[Episode number],0)),TRUE,FALSE)</f>
        <v>1</v>
      </c>
      <c r="C105" t="str">
        <f>TVMaze[[#This Row],[Name]]</f>
        <v>Cotswolds: The Stealth House</v>
      </c>
      <c r="D105" t="str">
        <f>VLOOKUP(Combined[[#This Row],[Episode number from TVMaze]],TVDB[],2,FALSE)</f>
        <v>Cotswold: The Stealth House</v>
      </c>
      <c r="E105" s="2" t="b">
        <f>_xlfn.IFNA(Combined[[#This Row],[Name from TVMaze]]=Combined[[#This Row],[Name from TVDB]],FALSE)</f>
        <v>0</v>
      </c>
      <c r="F105" s="2" t="s">
        <v>1316</v>
      </c>
      <c r="G105" s="3">
        <f>VLOOKUP(Combined[[#This Row],[Episode number from TVMaze]],TVMazePython[],3,FALSE)</f>
        <v>40443</v>
      </c>
      <c r="H105" s="2" t="str">
        <f>VLOOKUP(Combined[[#This Row],[Episode number from TVMaze]],TVMazePython[],4,FALSE)</f>
        <v>Helen and Chris Seymour Smith get planning permission to build a house in open countryside.</v>
      </c>
      <c r="I105" s="2" t="str">
        <f>VLOOKUP(Combined[[#This Row],[Episode number from TVMaze]],Files[],3,FALSE)</f>
        <v>/home/ziga/share/Series/Other/0 Home and Gardening/Grand Designs/Season 10/Grand Designs - S10E02 - Cotswolds - The Stealth House.avi</v>
      </c>
      <c r="J105" s="2" t="str">
        <f>CHAR(34)&amp;Combined[[#This Row],[Episode number from TVMaze]]&amp;CHAR(34)&amp;": "&amp;CHAR(34)&amp;Combined[[#This Row],[Path]]&amp;CHAR(34)&amp;","</f>
        <v>"S10E02": "/home/ziga/share/Series/Other/0 Home and Gardening/Grand Designs/Season 10/Grand Designs - S10E02 - Cotswolds - The Stealth House.avi",</v>
      </c>
      <c r="K105" s="2" t="str">
        <f>IF(Combined[[#This Row],[Is name same]],Combined[[#This Row],[Episode number from TVMaze]],IF(Combined[[#This Row],[NFO created]]="No need",Combined[[#This Row],[Episode number from TVMaze]],""))</f>
        <v>S10E02</v>
      </c>
      <c r="L105" s="2" t="str">
        <f>CHAR(34)&amp;Combined[[#This Row],[Episode number from TVMaze]]&amp;CHAR(34)&amp;": "&amp;CHAR(34)&amp;Combined[[#This Row],[Correct TVDB episode number for getting image url]]&amp;CHAR(34)&amp;","</f>
        <v>"S10E02": "S10E02",</v>
      </c>
      <c r="M105" s="2" t="b">
        <f>Combined[[#This Row],[Correct TVDB episode number for getting image url]]=Combined[[#This Row],[Episode number from TVMaze]]</f>
        <v>1</v>
      </c>
      <c r="N105" s="2" t="str">
        <f>IF(Combined[[#This Row],[Have file]],IF(LEN(Combined[[#This Row],[Correct TVDB episode number for getting image url]])=0,"Find correct episode number for TheTVDB",""),"Find episode on the internet")</f>
        <v/>
      </c>
    </row>
    <row r="106" spans="1:14" x14ac:dyDescent="0.25">
      <c r="A106" t="str">
        <f>TVMaze[[#This Row],[Episode number]]</f>
        <v>S10E03</v>
      </c>
      <c r="B106" t="b">
        <f>IF(ISNUMBER(MATCH(Combined[Episode number from TVMaze],Files[Episode number],0)),TRUE,FALSE)</f>
        <v>1</v>
      </c>
      <c r="C106" t="str">
        <f>TVMaze[[#This Row],[Name]]</f>
        <v>Woodbridge: The Modest Home</v>
      </c>
      <c r="D106" t="str">
        <f>VLOOKUP(Combined[[#This Row],[Episode number from TVMaze]],TVDB[],2,FALSE)</f>
        <v>Woodbridge: The Modest Home</v>
      </c>
      <c r="E106" s="2" t="b">
        <f>_xlfn.IFNA(Combined[[#This Row],[Name from TVMaze]]=Combined[[#This Row],[Name from TVDB]],FALSE)</f>
        <v>1</v>
      </c>
      <c r="F106" s="2"/>
      <c r="G106" s="3">
        <f>VLOOKUP(Combined[[#This Row],[Episode number from TVMaze]],TVMazePython[],3,FALSE)</f>
        <v>40450</v>
      </c>
      <c r="H106" s="2" t="str">
        <f>VLOOKUP(Combined[[#This Row],[Episode number from TVMaze]],TVMazePython[],4,FALSE)</f>
        <v>In Woodbridge, Lucie Fairweather and Nat McBride plan a responsible, low impact, ecologically sensitive home for their young family. Nat tragically succumbs to cancer early in the build, leaving Lucie to continue on her own with a downsized version of the original design.</v>
      </c>
      <c r="I106" s="2" t="str">
        <f>VLOOKUP(Combined[[#This Row],[Episode number from TVMaze]],Files[],3,FALSE)</f>
        <v>/home/ziga/share/Series/Other/0 Home and Gardening/Grand Designs/Season 10/Grand Designs - S10E03 - Woodbridge - The Modest Home.avi</v>
      </c>
      <c r="J106" s="2" t="str">
        <f>CHAR(34)&amp;Combined[[#This Row],[Episode number from TVMaze]]&amp;CHAR(34)&amp;": "&amp;CHAR(34)&amp;Combined[[#This Row],[Path]]&amp;CHAR(34)&amp;","</f>
        <v>"S10E03": "/home/ziga/share/Series/Other/0 Home and Gardening/Grand Designs/Season 10/Grand Designs - S10E03 - Woodbridge - The Modest Home.avi",</v>
      </c>
      <c r="K106" s="2" t="str">
        <f>IF(Combined[[#This Row],[Is name same]],Combined[[#This Row],[Episode number from TVMaze]],IF(Combined[[#This Row],[NFO created]]="No need",Combined[[#This Row],[Episode number from TVMaze]],""))</f>
        <v>S10E03</v>
      </c>
      <c r="L106" s="2" t="str">
        <f>CHAR(34)&amp;Combined[[#This Row],[Episode number from TVMaze]]&amp;CHAR(34)&amp;": "&amp;CHAR(34)&amp;Combined[[#This Row],[Correct TVDB episode number for getting image url]]&amp;CHAR(34)&amp;","</f>
        <v>"S10E03": "S10E03",</v>
      </c>
      <c r="M106" s="2" t="b">
        <f>Combined[[#This Row],[Correct TVDB episode number for getting image url]]=Combined[[#This Row],[Episode number from TVMaze]]</f>
        <v>1</v>
      </c>
      <c r="N106" s="2" t="str">
        <f>IF(Combined[[#This Row],[Have file]],IF(LEN(Combined[[#This Row],[Correct TVDB episode number for getting image url]])=0,"Find correct episode number for TheTVDB",""),"Find episode on the internet")</f>
        <v/>
      </c>
    </row>
    <row r="107" spans="1:14" x14ac:dyDescent="0.25">
      <c r="A107" t="str">
        <f>TVMaze[[#This Row],[Episode number]]</f>
        <v>S10E04</v>
      </c>
      <c r="B107" t="b">
        <f>IF(ISNUMBER(MATCH(Combined[Episode number from TVMaze],Files[Episode number],0)),TRUE,FALSE)</f>
        <v>1</v>
      </c>
      <c r="C107" t="str">
        <f>TVMaze[[#This Row],[Name]]</f>
        <v>Stowmarket: The Barn &amp; Guildhall</v>
      </c>
      <c r="D107" t="str">
        <f>VLOOKUP(Combined[[#This Row],[Episode number from TVMaze]],TVDB[],2,FALSE)</f>
        <v>Stowmarket: The Tudor Guildhall</v>
      </c>
      <c r="E107" s="2" t="b">
        <f>_xlfn.IFNA(Combined[[#This Row],[Name from TVMaze]]=Combined[[#This Row],[Name from TVDB]],FALSE)</f>
        <v>0</v>
      </c>
      <c r="F107" s="2" t="s">
        <v>1316</v>
      </c>
      <c r="G107" s="3">
        <f>VLOOKUP(Combined[[#This Row],[Episode number from TVMaze]],TVMazePython[],3,FALSE)</f>
        <v>40457</v>
      </c>
      <c r="H107" s="2" t="str">
        <f>VLOOKUP(Combined[[#This Row],[Episode number from TVMaze]],TVMazePython[],4,FALSE)</f>
        <v>Kevin follows Simon and Jill Bennett's conversion of two timber framed barns. However, one has turned out to be a medieval guild hall.</v>
      </c>
      <c r="I107" s="2" t="str">
        <f>VLOOKUP(Combined[[#This Row],[Episode number from TVMaze]],Files[],3,FALSE)</f>
        <v>/home/ziga/share/Series/Other/0 Home and Gardening/Grand Designs/Season 10/Grand Designs - S10E04 - Stowmarket - The Barn &amp; Guildhall.avi</v>
      </c>
      <c r="J107" s="2" t="str">
        <f>CHAR(34)&amp;Combined[[#This Row],[Episode number from TVMaze]]&amp;CHAR(34)&amp;": "&amp;CHAR(34)&amp;Combined[[#This Row],[Path]]&amp;CHAR(34)&amp;","</f>
        <v>"S10E04": "/home/ziga/share/Series/Other/0 Home and Gardening/Grand Designs/Season 10/Grand Designs - S10E04 - Stowmarket - The Barn &amp; Guildhall.avi",</v>
      </c>
      <c r="K107" s="2" t="str">
        <f>IF(Combined[[#This Row],[Is name same]],Combined[[#This Row],[Episode number from TVMaze]],IF(Combined[[#This Row],[NFO created]]="No need",Combined[[#This Row],[Episode number from TVMaze]],""))</f>
        <v>S10E04</v>
      </c>
      <c r="L107" s="2" t="str">
        <f>CHAR(34)&amp;Combined[[#This Row],[Episode number from TVMaze]]&amp;CHAR(34)&amp;": "&amp;CHAR(34)&amp;Combined[[#This Row],[Correct TVDB episode number for getting image url]]&amp;CHAR(34)&amp;","</f>
        <v>"S10E04": "S10E04",</v>
      </c>
      <c r="M107" s="2" t="b">
        <f>Combined[[#This Row],[Correct TVDB episode number for getting image url]]=Combined[[#This Row],[Episode number from TVMaze]]</f>
        <v>1</v>
      </c>
      <c r="N107" s="2" t="str">
        <f>IF(Combined[[#This Row],[Have file]],IF(LEN(Combined[[#This Row],[Correct TVDB episode number for getting image url]])=0,"Find correct episode number for TheTVDB",""),"Find episode on the internet")</f>
        <v/>
      </c>
    </row>
    <row r="108" spans="1:14" x14ac:dyDescent="0.25">
      <c r="A108" t="str">
        <f>TVMaze[[#This Row],[Episode number]]</f>
        <v>S10E05</v>
      </c>
      <c r="B108" t="b">
        <f>IF(ISNUMBER(MATCH(Combined[Episode number from TVMaze],Files[Episode number],0)),TRUE,FALSE)</f>
        <v>1</v>
      </c>
      <c r="C108" t="str">
        <f>TVMaze[[#This Row],[Name]]</f>
        <v>Ipswich: The Radian House</v>
      </c>
      <c r="D108" t="str">
        <f>VLOOKUP(Combined[[#This Row],[Episode number from TVMaze]],TVDB[],2,FALSE)</f>
        <v>Ipswich: The Radian House</v>
      </c>
      <c r="E108" s="2" t="b">
        <f>_xlfn.IFNA(Combined[[#This Row],[Name from TVMaze]]=Combined[[#This Row],[Name from TVDB]],FALSE)</f>
        <v>1</v>
      </c>
      <c r="F108" s="2"/>
      <c r="G108" s="3">
        <f>VLOOKUP(Combined[[#This Row],[Episode number from TVMaze]],TVMazePython[],3,FALSE)</f>
        <v>40464</v>
      </c>
      <c r="H108" s="2" t="str">
        <f>VLOOKUP(Combined[[#This Row],[Episode number from TVMaze]],TVMazePython[],4,FALSE)</f>
        <v>Lindsay and Jonathan Belsey hopes to build a house that aesthetically pleasing, cheap to run and ecologically sound.</v>
      </c>
      <c r="I108" s="2" t="str">
        <f>VLOOKUP(Combined[[#This Row],[Episode number from TVMaze]],Files[],3,FALSE)</f>
        <v>/home/ziga/share/Series/Other/0 Home and Gardening/Grand Designs/Season 10/Grand Designs - S10E05 - Ipswich - The Radian House.avi</v>
      </c>
      <c r="J108" s="2" t="str">
        <f>CHAR(34)&amp;Combined[[#This Row],[Episode number from TVMaze]]&amp;CHAR(34)&amp;": "&amp;CHAR(34)&amp;Combined[[#This Row],[Path]]&amp;CHAR(34)&amp;","</f>
        <v>"S10E05": "/home/ziga/share/Series/Other/0 Home and Gardening/Grand Designs/Season 10/Grand Designs - S10E05 - Ipswich - The Radian House.avi",</v>
      </c>
      <c r="K108" s="2" t="str">
        <f>IF(Combined[[#This Row],[Is name same]],Combined[[#This Row],[Episode number from TVMaze]],IF(Combined[[#This Row],[NFO created]]="No need",Combined[[#This Row],[Episode number from TVMaze]],""))</f>
        <v>S10E05</v>
      </c>
      <c r="L108" s="2" t="str">
        <f>CHAR(34)&amp;Combined[[#This Row],[Episode number from TVMaze]]&amp;CHAR(34)&amp;": "&amp;CHAR(34)&amp;Combined[[#This Row],[Correct TVDB episode number for getting image url]]&amp;CHAR(34)&amp;","</f>
        <v>"S10E05": "S10E05",</v>
      </c>
      <c r="M108" s="2" t="b">
        <f>Combined[[#This Row],[Correct TVDB episode number for getting image url]]=Combined[[#This Row],[Episode number from TVMaze]]</f>
        <v>1</v>
      </c>
      <c r="N108" s="2" t="str">
        <f>IF(Combined[[#This Row],[Have file]],IF(LEN(Combined[[#This Row],[Correct TVDB episode number for getting image url]])=0,"Find correct episode number for TheTVDB",""),"Find episode on the internet")</f>
        <v/>
      </c>
    </row>
    <row r="109" spans="1:14" x14ac:dyDescent="0.25">
      <c r="A109" t="str">
        <f>TVMaze[[#This Row],[Episode number]]</f>
        <v>S10E06</v>
      </c>
      <c r="B109" t="b">
        <f>IF(ISNUMBER(MATCH(Combined[Episode number from TVMaze],Files[Episode number],0)),TRUE,FALSE)</f>
        <v>1</v>
      </c>
      <c r="C109" t="str">
        <f>TVMaze[[#This Row],[Name]]</f>
        <v>Lizard Peninsular: The Scandinavian House</v>
      </c>
      <c r="D109" t="str">
        <f>VLOOKUP(Combined[[#This Row],[Episode number from TVMaze]],TVDB[],2,FALSE)</f>
        <v>Lizard Peninsular: The Scandinavian House</v>
      </c>
      <c r="E109" s="2" t="b">
        <f>_xlfn.IFNA(Combined[[#This Row],[Name from TVMaze]]=Combined[[#This Row],[Name from TVDB]],FALSE)</f>
        <v>1</v>
      </c>
      <c r="F109" s="2"/>
      <c r="G109" s="3">
        <f>VLOOKUP(Combined[[#This Row],[Episode number from TVMaze]],TVMazePython[],3,FALSE)</f>
        <v>40471</v>
      </c>
      <c r="H109" s="2" t="str">
        <f>VLOOKUP(Combined[[#This Row],[Episode number from TVMaze]],TVMazePython[],4,FALSE)</f>
        <v>Following Kathryn Tyler as she designs and builds her Scandinavian-inspired eco house in Falmouth.</v>
      </c>
      <c r="I109" s="2" t="str">
        <f>VLOOKUP(Combined[[#This Row],[Episode number from TVMaze]],Files[],3,FALSE)</f>
        <v>/home/ziga/share/Series/Other/0 Home and Gardening/Grand Designs/Season 10/Grand Designs - S10E06 - Lizard Peninsular - The Scandinavian House.avi</v>
      </c>
      <c r="J109" s="2" t="str">
        <f>CHAR(34)&amp;Combined[[#This Row],[Episode number from TVMaze]]&amp;CHAR(34)&amp;": "&amp;CHAR(34)&amp;Combined[[#This Row],[Path]]&amp;CHAR(34)&amp;","</f>
        <v>"S10E06": "/home/ziga/share/Series/Other/0 Home and Gardening/Grand Designs/Season 10/Grand Designs - S10E06 - Lizard Peninsular - The Scandinavian House.avi",</v>
      </c>
      <c r="K109" s="2" t="str">
        <f>IF(Combined[[#This Row],[Is name same]],Combined[[#This Row],[Episode number from TVMaze]],IF(Combined[[#This Row],[NFO created]]="No need",Combined[[#This Row],[Episode number from TVMaze]],""))</f>
        <v>S10E06</v>
      </c>
      <c r="L109" s="2" t="str">
        <f>CHAR(34)&amp;Combined[[#This Row],[Episode number from TVMaze]]&amp;CHAR(34)&amp;": "&amp;CHAR(34)&amp;Combined[[#This Row],[Correct TVDB episode number for getting image url]]&amp;CHAR(34)&amp;","</f>
        <v>"S10E06": "S10E06",</v>
      </c>
      <c r="M109" s="2" t="b">
        <f>Combined[[#This Row],[Correct TVDB episode number for getting image url]]=Combined[[#This Row],[Episode number from TVMaze]]</f>
        <v>1</v>
      </c>
      <c r="N109" s="2" t="str">
        <f>IF(Combined[[#This Row],[Have file]],IF(LEN(Combined[[#This Row],[Correct TVDB episode number for getting image url]])=0,"Find correct episode number for TheTVDB",""),"Find episode on the internet")</f>
        <v/>
      </c>
    </row>
    <row r="110" spans="1:14" x14ac:dyDescent="0.25">
      <c r="A110" t="str">
        <f>TVMaze[[#This Row],[Episode number]]</f>
        <v>S10E07</v>
      </c>
      <c r="B110" t="b">
        <f>IF(ISNUMBER(MATCH(Combined[Episode number from TVMaze],Files[Episode number],0)),TRUE,FALSE)</f>
        <v>1</v>
      </c>
      <c r="C110" t="str">
        <f>TVMaze[[#This Row],[Name]]</f>
        <v>Cumbria: The Adaptahaus</v>
      </c>
      <c r="D110" t="str">
        <f>VLOOKUP(Combined[[#This Row],[Episode number from TVMaze]],TVDB[],2,FALSE)</f>
        <v>West Cumbria: The Adaptahaus</v>
      </c>
      <c r="E110" s="2" t="b">
        <f>_xlfn.IFNA(Combined[[#This Row],[Name from TVMaze]]=Combined[[#This Row],[Name from TVDB]],FALSE)</f>
        <v>0</v>
      </c>
      <c r="F110" s="2" t="s">
        <v>1316</v>
      </c>
      <c r="G110" s="3">
        <f>VLOOKUP(Combined[[#This Row],[Episode number from TVMaze]],TVMazePython[],3,FALSE)</f>
        <v>40478</v>
      </c>
      <c r="H110" s="2" t="str">
        <f>VLOOKUP(Combined[[#This Row],[Episode number from TVMaze]],TVMazePython[],4,FALSE)</f>
        <v>Alan Dawson attempts to build house like a giant Meccano set, in that he will make the pieces in a workshop and then assemble it all on site.</v>
      </c>
      <c r="I110" s="2" t="str">
        <f>VLOOKUP(Combined[[#This Row],[Episode number from TVMaze]],Files[],3,FALSE)</f>
        <v>/home/ziga/share/Series/Other/0 Home and Gardening/Grand Designs/Season 10/Grand Designs - S10E07 - Cumbria - The Adaptahaus.avi</v>
      </c>
      <c r="J110" s="2" t="str">
        <f>CHAR(34)&amp;Combined[[#This Row],[Episode number from TVMaze]]&amp;CHAR(34)&amp;": "&amp;CHAR(34)&amp;Combined[[#This Row],[Path]]&amp;CHAR(34)&amp;","</f>
        <v>"S10E07": "/home/ziga/share/Series/Other/0 Home and Gardening/Grand Designs/Season 10/Grand Designs - S10E07 - Cumbria - The Adaptahaus.avi",</v>
      </c>
      <c r="K110" s="2" t="str">
        <f>IF(Combined[[#This Row],[Is name same]],Combined[[#This Row],[Episode number from TVMaze]],IF(Combined[[#This Row],[NFO created]]="No need",Combined[[#This Row],[Episode number from TVMaze]],""))</f>
        <v>S10E07</v>
      </c>
      <c r="L110" s="2" t="str">
        <f>CHAR(34)&amp;Combined[[#This Row],[Episode number from TVMaze]]&amp;CHAR(34)&amp;": "&amp;CHAR(34)&amp;Combined[[#This Row],[Correct TVDB episode number for getting image url]]&amp;CHAR(34)&amp;","</f>
        <v>"S10E07": "S10E07",</v>
      </c>
      <c r="M110" s="2" t="b">
        <f>Combined[[#This Row],[Correct TVDB episode number for getting image url]]=Combined[[#This Row],[Episode number from TVMaze]]</f>
        <v>1</v>
      </c>
      <c r="N110" s="2" t="str">
        <f>IF(Combined[[#This Row],[Have file]],IF(LEN(Combined[[#This Row],[Correct TVDB episode number for getting image url]])=0,"Find correct episode number for TheTVDB",""),"Find episode on the internet")</f>
        <v/>
      </c>
    </row>
    <row r="111" spans="1:14" x14ac:dyDescent="0.25">
      <c r="A111" t="str">
        <f>TVMaze[[#This Row],[Episode number]]</f>
        <v>S10E08</v>
      </c>
      <c r="B111" t="b">
        <f>IF(ISNUMBER(MATCH(Combined[Episode number from TVMaze],Files[Episode number],0)),TRUE,FALSE)</f>
        <v>1</v>
      </c>
      <c r="C111" t="str">
        <f>TVMaze[[#This Row],[Name]]</f>
        <v>Lake District: The Dome House</v>
      </c>
      <c r="D111" t="str">
        <f>VLOOKUP(Combined[[#This Row],[Episode number from TVMaze]],TVDB[],2,FALSE)</f>
        <v>Lake District: The Dome House</v>
      </c>
      <c r="E111" s="2" t="b">
        <f>_xlfn.IFNA(Combined[[#This Row],[Name from TVMaze]]=Combined[[#This Row],[Name from TVDB]],FALSE)</f>
        <v>1</v>
      </c>
      <c r="F111" s="2"/>
      <c r="G111" s="3">
        <f>VLOOKUP(Combined[[#This Row],[Episode number from TVMaze]],TVMazePython[],3,FALSE)</f>
        <v>40485</v>
      </c>
      <c r="H111" s="2" t="str">
        <f>VLOOKUP(Combined[[#This Row],[Episode number from TVMaze]],TVMazePython[],4,FALSE)</f>
        <v>Robert and Milla Gaukroger plan to extend an old 1980s house overlooking Windermere.</v>
      </c>
      <c r="I111" s="2" t="str">
        <f>VLOOKUP(Combined[[#This Row],[Episode number from TVMaze]],Files[],3,FALSE)</f>
        <v>/home/ziga/share/Series/Other/0 Home and Gardening/Grand Designs/Season 10/Grand Designs - S10E08 - Lake District - The Dome House.avi</v>
      </c>
      <c r="J111" s="2" t="str">
        <f>CHAR(34)&amp;Combined[[#This Row],[Episode number from TVMaze]]&amp;CHAR(34)&amp;": "&amp;CHAR(34)&amp;Combined[[#This Row],[Path]]&amp;CHAR(34)&amp;","</f>
        <v>"S10E08": "/home/ziga/share/Series/Other/0 Home and Gardening/Grand Designs/Season 10/Grand Designs - S10E08 - Lake District - The Dome House.avi",</v>
      </c>
      <c r="K111" s="2" t="str">
        <f>IF(Combined[[#This Row],[Is name same]],Combined[[#This Row],[Episode number from TVMaze]],IF(Combined[[#This Row],[NFO created]]="No need",Combined[[#This Row],[Episode number from TVMaze]],""))</f>
        <v>S10E08</v>
      </c>
      <c r="L111" s="2" t="str">
        <f>CHAR(34)&amp;Combined[[#This Row],[Episode number from TVMaze]]&amp;CHAR(34)&amp;": "&amp;CHAR(34)&amp;Combined[[#This Row],[Correct TVDB episode number for getting image url]]&amp;CHAR(34)&amp;","</f>
        <v>"S10E08": "S10E08",</v>
      </c>
      <c r="M111" s="2" t="b">
        <f>Combined[[#This Row],[Correct TVDB episode number for getting image url]]=Combined[[#This Row],[Episode number from TVMaze]]</f>
        <v>1</v>
      </c>
      <c r="N111" s="2" t="str">
        <f>IF(Combined[[#This Row],[Have file]],IF(LEN(Combined[[#This Row],[Correct TVDB episode number for getting image url]])=0,"Find correct episode number for TheTVDB",""),"Find episode on the internet")</f>
        <v/>
      </c>
    </row>
    <row r="112" spans="1:14" x14ac:dyDescent="0.25">
      <c r="A112" t="str">
        <f>TVMaze[[#This Row],[Episode number]]</f>
        <v>S10E09</v>
      </c>
      <c r="B112" t="b">
        <f>IF(ISNUMBER(MATCH(Combined[Episode number from TVMaze],Files[Episode number],0)),TRUE,FALSE)</f>
        <v>1</v>
      </c>
      <c r="C112" t="str">
        <f>TVMaze[[#This Row],[Name]]</f>
        <v>Revisited - Brittany, France: The Brittany Groundhouse (Revisited from S9 Ep5)</v>
      </c>
      <c r="D112" t="str">
        <f>VLOOKUP(Combined[[#This Row],[Episode number from TVMaze]],TVDB[],2,FALSE)</f>
        <v>Revisited - Lake District: The Dome House</v>
      </c>
      <c r="E112" s="2" t="b">
        <f>_xlfn.IFNA(Combined[[#This Row],[Name from TVMaze]]=Combined[[#This Row],[Name from TVDB]],FALSE)</f>
        <v>0</v>
      </c>
      <c r="F112" s="2"/>
      <c r="G112" s="3">
        <f>VLOOKUP(Combined[[#This Row],[Episode number from TVMaze]],TVMazePython[],3,FALSE)</f>
        <v>40492</v>
      </c>
      <c r="H112" s="2" t="str">
        <f>VLOOKUP(Combined[[#This Row],[Episode number from TVMaze]],TVMazePython[],4,FALSE)</f>
        <v>Kevin returns to see how Daren Howarth and Adi Nortje's project has fared four years after they decided to build an earth-sheltered home in Brittany.</v>
      </c>
      <c r="I112" s="2" t="str">
        <f>VLOOKUP(Combined[[#This Row],[Episode number from TVMaze]],Files[],3,FALSE)</f>
        <v>/home/ziga/share/Series/Other/0 Home and Gardening/Grand Designs/Season 10/Grand Designs - S10E09 - Revisited - Brittany France - The Brittany Groundhouse (Revisited from S9 Ep5).avi</v>
      </c>
      <c r="J112" s="2" t="str">
        <f>CHAR(34)&amp;Combined[[#This Row],[Episode number from TVMaze]]&amp;CHAR(34)&amp;": "&amp;CHAR(34)&amp;Combined[[#This Row],[Path]]&amp;CHAR(34)&amp;","</f>
        <v>"S10E09": "/home/ziga/share/Series/Other/0 Home and Gardening/Grand Designs/Season 10/Grand Designs - S10E09 - Revisited - Brittany France - The Brittany Groundhouse (Revisited from S9 Ep5).avi",</v>
      </c>
      <c r="K112" s="2" t="s">
        <v>921</v>
      </c>
      <c r="L112" s="2" t="str">
        <f>CHAR(34)&amp;Combined[[#This Row],[Episode number from TVMaze]]&amp;CHAR(34)&amp;": "&amp;CHAR(34)&amp;Combined[[#This Row],[Correct TVDB episode number for getting image url]]&amp;CHAR(34)&amp;","</f>
        <v>"S10E09": "S09E09",</v>
      </c>
      <c r="M112" s="2" t="b">
        <f>Combined[[#This Row],[Correct TVDB episode number for getting image url]]=Combined[[#This Row],[Episode number from TVMaze]]</f>
        <v>0</v>
      </c>
      <c r="N112" s="2" t="str">
        <f>IF(Combined[[#This Row],[Have file]],IF(LEN(Combined[[#This Row],[Correct TVDB episode number for getting image url]])=0,"Find correct episode number for TheTVDB",""),"Find episode on the internet")</f>
        <v/>
      </c>
    </row>
    <row r="113" spans="1:14" x14ac:dyDescent="0.25">
      <c r="A113" t="str">
        <f>TVMaze[[#This Row],[Episode number]]</f>
        <v>S10E10</v>
      </c>
      <c r="B113" t="b">
        <f>IF(ISNUMBER(MATCH(Combined[Episode number from TVMaze],Files[Episode number],0)),TRUE,FALSE)</f>
        <v>1</v>
      </c>
      <c r="C113" t="str">
        <f>TVMaze[[#This Row],[Name]]</f>
        <v>Revisited - Dulwich: The Glass &amp; Timber House (Revisited from S7 Ep12)</v>
      </c>
      <c r="D113" t="str">
        <f>VLOOKUP(Combined[[#This Row],[Episode number from TVMaze]],TVDB[],2,FALSE)</f>
        <v>Revisited - West Cumbria: The Adaptahaus</v>
      </c>
      <c r="E113" s="2" t="b">
        <f>_xlfn.IFNA(Combined[[#This Row],[Name from TVMaze]]=Combined[[#This Row],[Name from TVDB]],FALSE)</f>
        <v>0</v>
      </c>
      <c r="F113" s="2"/>
      <c r="G113" s="3">
        <f>VLOOKUP(Combined[[#This Row],[Episode number from TVMaze]],TVMazePython[],3,FALSE)</f>
        <v>40499</v>
      </c>
      <c r="H113" s="2" t="str">
        <f>VLOOKUP(Combined[[#This Row],[Episode number from TVMaze]],TVMazePython[],4,FALSE)</f>
        <v>Kevin returns to see whether Bill Bradley has completed the work on his two timber houses in south London.Bill and Sarah Bradley are a couple whose dream of living mortgage-free rests on building not one, but two timber framed houses in south London. Building on the site of Bill's old wood workshop, the couple plan to sandwich the houses in between two existing rows, leaving them overlooking, and overlooked, by over twenty neighbours. To get around these difficulties Bill and Sarah's houses will use oblique windows, skylights and double height glazed courtyards to create two beautiful but private homes. But before long the budget is soaring and Bill's desire to go more luxurious and high spec leaves their dream of debt free living looking ever more remote.&lt;br&gt;</v>
      </c>
      <c r="I113" s="2" t="str">
        <f>VLOOKUP(Combined[[#This Row],[Episode number from TVMaze]],Files[],3,FALSE)</f>
        <v>/home/ziga/share/Series/Other/0 Home and Gardening/Grand Designs/Season 10/Grand Designs - S10E10 - Revisited - Dulwich - The Glass &amp; Timber House (Revisited from S7 Ep12).avi</v>
      </c>
      <c r="J113" s="2" t="str">
        <f>CHAR(34)&amp;Combined[[#This Row],[Episode number from TVMaze]]&amp;CHAR(34)&amp;": "&amp;CHAR(34)&amp;Combined[[#This Row],[Path]]&amp;CHAR(34)&amp;","</f>
        <v>"S10E10": "/home/ziga/share/Series/Other/0 Home and Gardening/Grand Designs/Season 10/Grand Designs - S10E10 - Revisited - Dulwich - The Glass &amp; Timber House (Revisited from S7 Ep12).avi",</v>
      </c>
      <c r="K113" s="2" t="s">
        <v>904</v>
      </c>
      <c r="L113" s="2" t="str">
        <f>CHAR(34)&amp;Combined[[#This Row],[Episode number from TVMaze]]&amp;CHAR(34)&amp;": "&amp;CHAR(34)&amp;Combined[[#This Row],[Correct TVDB episode number for getting image url]]&amp;CHAR(34)&amp;","</f>
        <v>"S10E10": "S07E12",</v>
      </c>
      <c r="M113" s="2" t="b">
        <f>Combined[[#This Row],[Correct TVDB episode number for getting image url]]=Combined[[#This Row],[Episode number from TVMaze]]</f>
        <v>0</v>
      </c>
      <c r="N113" s="2" t="str">
        <f>IF(Combined[[#This Row],[Have file]],IF(LEN(Combined[[#This Row],[Correct TVDB episode number for getting image url]])=0,"Find correct episode number for TheTVDB",""),"Find episode on the internet")</f>
        <v/>
      </c>
    </row>
    <row r="114" spans="1:14" x14ac:dyDescent="0.25">
      <c r="A114" t="str">
        <f>TVMaze[[#This Row],[Episode number]]</f>
        <v>S10E11</v>
      </c>
      <c r="B114" t="b">
        <f>IF(ISNUMBER(MATCH(Combined[Episode number from TVMaze],Files[Episode number],0)),TRUE,FALSE)</f>
        <v>1</v>
      </c>
      <c r="C114" t="str">
        <f>TVMaze[[#This Row],[Name]]</f>
        <v>Revisited - Belfast: A 21st Century Answer to the Roman Villa (Revisited from S5 Ep9)</v>
      </c>
      <c r="D114" t="str">
        <f>VLOOKUP(Combined[[#This Row],[Episode number from TVMaze]],TVDB[],2,FALSE)</f>
        <v>Revisited - Isle of Wight: The Tree House</v>
      </c>
      <c r="E114" s="2" t="b">
        <f>_xlfn.IFNA(Combined[[#This Row],[Name from TVMaze]]=Combined[[#This Row],[Name from TVDB]],FALSE)</f>
        <v>0</v>
      </c>
      <c r="F114" s="2"/>
      <c r="G114" s="3">
        <f>VLOOKUP(Combined[[#This Row],[Episode number from TVMaze]],TVMazePython[],3,FALSE)</f>
        <v>40506</v>
      </c>
      <c r="H114" s="2" t="str">
        <f>VLOOKUP(Combined[[#This Row],[Episode number from TVMaze]],TVMazePython[],4,FALSE)</f>
        <v>Six years after his first visit, Kevin returns to see how the O'Hare's fared with their split-level home cascading down a practically vertical hillside in Belfast.This is Belfast, one of the great cities of the industrial revolution, and home to Thomas and Dervla O'Hare. They've lived here for 18 years, and although they still love their tiny cottage for its compactness, they're about to build something much, much bigger. They're building a 21st century answer to the Roman villa, with a copper roof, glass and concrete walls and vast amounts of living space all arranged around a central courtyard. In order to cope with the incredibly steep slope the house was divided across three levels. At the base of the building there is a garage and all the utilities. Through the front door a double-width processional staircase leads up to the living and dining areas.&lt;br&gt;</v>
      </c>
      <c r="I114" s="2" t="str">
        <f>VLOOKUP(Combined[[#This Row],[Episode number from TVMaze]],Files[],3,FALSE)</f>
        <v>/home/ziga/share/Series/Other/0 Home and Gardening/Grand Designs/Season 10/Grand Designs - S10E11 - Revisited - Belfast - A 21st Century Answer to the Roman Villa (Revisited from S5 Ep9).avi</v>
      </c>
      <c r="J114" s="2" t="str">
        <f>CHAR(34)&amp;Combined[[#This Row],[Episode number from TVMaze]]&amp;CHAR(34)&amp;": "&amp;CHAR(34)&amp;Combined[[#This Row],[Path]]&amp;CHAR(34)&amp;","</f>
        <v>"S10E11": "/home/ziga/share/Series/Other/0 Home and Gardening/Grand Designs/Season 10/Grand Designs - S10E11 - Revisited - Belfast - A 21st Century Answer to the Roman Villa (Revisited from S5 Ep9).avi",</v>
      </c>
      <c r="K114" s="2" t="s">
        <v>885</v>
      </c>
      <c r="L114" s="2" t="str">
        <f>CHAR(34)&amp;Combined[[#This Row],[Episode number from TVMaze]]&amp;CHAR(34)&amp;": "&amp;CHAR(34)&amp;Combined[[#This Row],[Correct TVDB episode number for getting image url]]&amp;CHAR(34)&amp;","</f>
        <v>"S10E11": "S05E10",</v>
      </c>
      <c r="M114" s="2" t="b">
        <f>Combined[[#This Row],[Correct TVDB episode number for getting image url]]=Combined[[#This Row],[Episode number from TVMaze]]</f>
        <v>0</v>
      </c>
      <c r="N114" s="2" t="str">
        <f>IF(Combined[[#This Row],[Have file]],IF(LEN(Combined[[#This Row],[Correct TVDB episode number for getting image url]])=0,"Find correct episode number for TheTVDB",""),"Find episode on the internet")</f>
        <v/>
      </c>
    </row>
    <row r="115" spans="1:14" x14ac:dyDescent="0.25">
      <c r="A115" t="str">
        <f>TVMaze[[#This Row],[Episode number]]</f>
        <v>S10E12</v>
      </c>
      <c r="B115" t="b">
        <f>IF(ISNUMBER(MATCH(Combined[Episode number from TVMaze],Files[Episode number],0)),TRUE,FALSE)</f>
        <v>1</v>
      </c>
      <c r="C115" t="str">
        <f>TVMaze[[#This Row],[Name]]</f>
        <v>Revisited - Lot, France: House from Straw (Revisited from Grand Designs Abroad - 15 September 2004)</v>
      </c>
      <c r="D115" t="str">
        <f>VLOOKUP(Combined[[#This Row],[Episode number from TVMaze]],TVDB[],2,FALSE)</f>
        <v>Revisited: Woodbridge: The Modest Home</v>
      </c>
      <c r="E115" s="2" t="b">
        <f>_xlfn.IFNA(Combined[[#This Row],[Name from TVMaze]]=Combined[[#This Row],[Name from TVDB]],FALSE)</f>
        <v>0</v>
      </c>
      <c r="F115" s="2"/>
      <c r="G115" s="3">
        <f>VLOOKUP(Combined[[#This Row],[Episode number from TVMaze]],TVMazePython[],3,FALSE)</f>
        <v>40513</v>
      </c>
      <c r="H115" s="2" t="str">
        <f>VLOOKUP(Combined[[#This Row],[Episode number from TVMaze]],TVMazePython[],4,FALSE)</f>
        <v>Kevin McCloud returns to see the Sampson family in France.Mark and Deborah (Debbie) Sampson and daughter, Tilley, like to practice an ecologically sound way of life. Together, the family's over-riding desire is to make a statement about who they are and how they choose to live their life, and to be accepted for the way they are by the local people.&lt;br&gt;</v>
      </c>
      <c r="I115" s="2" t="str">
        <f>VLOOKUP(Combined[[#This Row],[Episode number from TVMaze]],Files[],3,FALSE)</f>
        <v>/home/ziga/share/Series/Other/0 Home and Gardening/Grand Designs/Season 10/Grand Designs - S10E12 - Revisited - Lot France - House from Straw (Revisited from Grand Designs Abroad - 15 September 2004).avi</v>
      </c>
      <c r="J115" s="2" t="str">
        <f>CHAR(34)&amp;Combined[[#This Row],[Episode number from TVMaze]]&amp;CHAR(34)&amp;": "&amp;CHAR(34)&amp;Combined[[#This Row],[Path]]&amp;CHAR(34)&amp;","</f>
        <v>"S10E12": "/home/ziga/share/Series/Other/0 Home and Gardening/Grand Designs/Season 10/Grand Designs - S10E12 - Revisited - Lot France - House from Straw (Revisited from Grand Designs Abroad - 15 September 2004).avi",</v>
      </c>
      <c r="K115" s="2" t="str">
        <f>IF(Combined[[#This Row],[Is name same]],Combined[[#This Row],[Episode number from TVMaze]],IF(Combined[[#This Row],[NFO created]]="No need",Combined[[#This Row],[Episode number from TVMaze]],""))</f>
        <v/>
      </c>
      <c r="L115" s="2" t="str">
        <f>CHAR(34)&amp;Combined[[#This Row],[Episode number from TVMaze]]&amp;CHAR(34)&amp;": "&amp;CHAR(34)&amp;Combined[[#This Row],[Correct TVDB episode number for getting image url]]&amp;CHAR(34)&amp;","</f>
        <v>"S10E12": "",</v>
      </c>
      <c r="M115" s="2" t="b">
        <f>Combined[[#This Row],[Correct TVDB episode number for getting image url]]=Combined[[#This Row],[Episode number from TVMaze]]</f>
        <v>0</v>
      </c>
      <c r="N115" s="2" t="str">
        <f>IF(Combined[[#This Row],[Have file]],IF(LEN(Combined[[#This Row],[Correct TVDB episode number for getting image url]])=0,"Find correct episode number for TheTVDB",""),"Find episode on the internet")</f>
        <v>Find correct episode number for TheTVDB</v>
      </c>
    </row>
    <row r="116" spans="1:14" x14ac:dyDescent="0.25">
      <c r="A116" t="str">
        <f>TVMaze[[#This Row],[Episode number]]</f>
        <v>S10E13</v>
      </c>
      <c r="B116" t="b">
        <f>IF(ISNUMBER(MATCH(Combined[Episode number from TVMaze],Files[Episode number],0)),TRUE,FALSE)</f>
        <v>1</v>
      </c>
      <c r="C116" t="str">
        <f>TVMaze[[#This Row],[Name]]</f>
        <v>Coleshill, Amersham - 2nd Revisit: The Water Tower (Revisited from S1 Ep4 and S2 Ep16)</v>
      </c>
      <c r="D116" t="e">
        <f>VLOOKUP(Combined[[#This Row],[Episode number from TVMaze]],TVDB[],2,FALSE)</f>
        <v>#N/A</v>
      </c>
      <c r="E116" s="2" t="b">
        <f>_xlfn.IFNA(Combined[[#This Row],[Name from TVMaze]]=Combined[[#This Row],[Name from TVDB]],FALSE)</f>
        <v>0</v>
      </c>
      <c r="F116" s="2"/>
      <c r="G116" s="3">
        <f>VLOOKUP(Combined[[#This Row],[Episode number from TVMaze]],TVMazePython[],3,FALSE)</f>
        <v>40520</v>
      </c>
      <c r="H116" s="2" t="str">
        <f>VLOOKUP(Combined[[#This Row],[Episode number from TVMaze]],TVMazePython[],4,FALSE)</f>
        <v>Over ten years ago, as one of Grand Design's first projects, Andrew Tate and Deborah Mills found a site with a monstrous, dilapidated, 100 foot tall water tower on it. Unusually, they saw it as the perfect spot to build a contemporary family home and convert the old water tower into a seven-storey bedroom wing. Andrew is a commercial architect and so the modern new build went up in just four months, using fast-track methods alongside unconventional building materials. However, things were not so easy when it came to the three feet thick water tower: a doorway they expected to be made in two days, took two weeks. Kevin went back to see Andrew and Deborah three years after they had moved into their contemporary extension, but they had still made no progress on the water tower, and were living with minimal bedroom space. Now Kevin returns again to see if the water tower conversion has finally happened, and if their dream home has worked out just as they envisaged all that time ago.</v>
      </c>
      <c r="I116" s="2" t="str">
        <f>VLOOKUP(Combined[[#This Row],[Episode number from TVMaze]],Files[],3,FALSE)</f>
        <v>/home/ziga/share/Series/Other/0 Home and Gardening/Grand Designs/Season 10/Grand Designs - S10E13 - Coleshill Amersham - 2nd Revisit - The Water Tower (Revisited from S1 Ep4 and S2 Ep16).avi</v>
      </c>
      <c r="J116" s="2" t="str">
        <f>CHAR(34)&amp;Combined[[#This Row],[Episode number from TVMaze]]&amp;CHAR(34)&amp;": "&amp;CHAR(34)&amp;Combined[[#This Row],[Path]]&amp;CHAR(34)&amp;","</f>
        <v>"S10E13": "/home/ziga/share/Series/Other/0 Home and Gardening/Grand Designs/Season 10/Grand Designs - S10E13 - Coleshill Amersham - 2nd Revisit - The Water Tower (Revisited from S1 Ep4 and S2 Ep16).avi",</v>
      </c>
      <c r="K116" s="2" t="s">
        <v>835</v>
      </c>
      <c r="L116" s="2" t="str">
        <f>CHAR(34)&amp;Combined[[#This Row],[Episode number from TVMaze]]&amp;CHAR(34)&amp;": "&amp;CHAR(34)&amp;Combined[[#This Row],[Correct TVDB episode number for getting image url]]&amp;CHAR(34)&amp;","</f>
        <v>"S10E13": "S01E16",</v>
      </c>
      <c r="M116" s="2" t="b">
        <f>Combined[[#This Row],[Correct TVDB episode number for getting image url]]=Combined[[#This Row],[Episode number from TVMaze]]</f>
        <v>0</v>
      </c>
      <c r="N116" s="2" t="str">
        <f>IF(Combined[[#This Row],[Have file]],IF(LEN(Combined[[#This Row],[Correct TVDB episode number for getting image url]])=0,"Find correct episode number for TheTVDB",""),"Find episode on the internet")</f>
        <v/>
      </c>
    </row>
    <row r="117" spans="1:14" x14ac:dyDescent="0.25">
      <c r="A117" t="str">
        <f>TVMaze[[#This Row],[Episode number]]</f>
        <v>S10E14</v>
      </c>
      <c r="B117" t="b">
        <f>IF(ISNUMBER(MATCH(Combined[Episode number from TVMaze],Files[Episode number],0)),TRUE,FALSE)</f>
        <v>1</v>
      </c>
      <c r="C117" t="str">
        <f>TVMaze[[#This Row],[Name]]</f>
        <v>Revisited - Midlothian, Scotland: The Lime Kiln House (Revisited from S8 Ep5)</v>
      </c>
      <c r="D117" t="e">
        <f>VLOOKUP(Combined[[#This Row],[Episode number from TVMaze]],TVDB[],2,FALSE)</f>
        <v>#N/A</v>
      </c>
      <c r="E117" s="2" t="b">
        <f>_xlfn.IFNA(Combined[[#This Row],[Name from TVMaze]]=Combined[[#This Row],[Name from TVDB]],FALSE)</f>
        <v>0</v>
      </c>
      <c r="F117" s="2"/>
      <c r="G117" s="3">
        <f>VLOOKUP(Combined[[#This Row],[Episode number from TVMaze]],TVMazePython[],3,FALSE)</f>
        <v>40527</v>
      </c>
      <c r="H117" s="2" t="str">
        <f>VLOOKUP(Combined[[#This Row],[Episode number from TVMaze]],TVMazePython[],4,FALSE)</f>
        <v>Kevin returns to see how Pru and Richard Irvine fared one-and-a-half years after they began building their bespoke home in the Midlothian countryside.A couple, Pru and Richard Irvine, decide to build a family home on an industrial site in the Midlothian countryside complete with lime kilns, but are only allowed to do so if they become custodians of the kilns and their house blends in with the landscape. This proves challenging for the pair as they want to build a modern property that could be seen as a blot on the landscape to the locals. The task is made all the more demanding when they underestimate the long hours needed to be a project manager.&lt;br&gt;</v>
      </c>
      <c r="I117" s="2" t="str">
        <f>VLOOKUP(Combined[[#This Row],[Episode number from TVMaze]],Files[],3,FALSE)</f>
        <v>/home/ziga/share/Series/Other/0 Home and Gardening/Grand Designs/Season 10/Grand Designs - S10E14 - Revisited - Midlothian Scotland - The Lime Kiln House (Revisited from S8 Ep5).avi</v>
      </c>
      <c r="J117" s="2" t="str">
        <f>CHAR(34)&amp;Combined[[#This Row],[Episode number from TVMaze]]&amp;CHAR(34)&amp;": "&amp;CHAR(34)&amp;Combined[[#This Row],[Path]]&amp;CHAR(34)&amp;","</f>
        <v>"S10E14": "/home/ziga/share/Series/Other/0 Home and Gardening/Grand Designs/Season 10/Grand Designs - S10E14 - Revisited - Midlothian Scotland - The Lime Kiln House (Revisited from S8 Ep5).avi",</v>
      </c>
      <c r="K117" s="2" t="s">
        <v>912</v>
      </c>
      <c r="L117" s="2" t="str">
        <f>CHAR(34)&amp;Combined[[#This Row],[Episode number from TVMaze]]&amp;CHAR(34)&amp;": "&amp;CHAR(34)&amp;Combined[[#This Row],[Correct TVDB episode number for getting image url]]&amp;CHAR(34)&amp;","</f>
        <v>"S10E14": "S08E08",</v>
      </c>
      <c r="M117" s="2" t="b">
        <f>Combined[[#This Row],[Correct TVDB episode number for getting image url]]=Combined[[#This Row],[Episode number from TVMaze]]</f>
        <v>0</v>
      </c>
      <c r="N117" s="2" t="str">
        <f>IF(Combined[[#This Row],[Have file]],IF(LEN(Combined[[#This Row],[Correct TVDB episode number for getting image url]])=0,"Find correct episode number for TheTVDB",""),"Find episode on the internet")</f>
        <v/>
      </c>
    </row>
    <row r="118" spans="1:14" x14ac:dyDescent="0.25">
      <c r="A118" t="str">
        <f>TVMaze[[#This Row],[Episode number]]</f>
        <v>S11E01</v>
      </c>
      <c r="B118" t="b">
        <f>IF(ISNUMBER(MATCH(Combined[Episode number from TVMaze],Files[Episode number],0)),TRUE,FALSE)</f>
        <v>1</v>
      </c>
      <c r="C118" t="str">
        <f>TVMaze[[#This Row],[Name]]</f>
        <v>Morpeth: The Derelict Mill Cottage</v>
      </c>
      <c r="D118" t="str">
        <f>VLOOKUP(Combined[[#This Row],[Episode number from TVMaze]],TVDB[],2,FALSE)</f>
        <v>Morpeth: The Derelict Mill Cottage</v>
      </c>
      <c r="E118" s="2" t="b">
        <f>_xlfn.IFNA(Combined[[#This Row],[Name from TVMaze]]=Combined[[#This Row],[Name from TVDB]],FALSE)</f>
        <v>1</v>
      </c>
      <c r="F118" s="2"/>
      <c r="G118" s="3">
        <f>VLOOKUP(Combined[[#This Row],[Episode number from TVMaze]],TVMazePython[],3,FALSE)</f>
        <v>40800</v>
      </c>
      <c r="H118" s="2" t="str">
        <f>VLOOKUP(Combined[[#This Row],[Episode number from TVMaze]],TVMazePython[],4,FALSE)</f>
        <v>Kevin McCloud looks at the transformation of a derelict mill cottage in Northumberland into a contemporary family home, the longest-running project ever featured on the programme. Stefan Lepkowski and Annia Shabowska began work in 2006, and their ambitious plans involved restoring the Georgian building, reconstructing a watermill and adding a steel-and-glass atrium, but their budget of £250,000 was completely inadequate.</v>
      </c>
      <c r="I118" s="2" t="str">
        <f>VLOOKUP(Combined[[#This Row],[Episode number from TVMaze]],Files[],3,FALSE)</f>
        <v>/home/ziga/share/Series/Other/0 Home and Gardening/Grand Designs/Season 11/Grand Designs - S11E01 - Morpeth - The Derelict Mill Cottage.avi</v>
      </c>
      <c r="J118" s="2" t="str">
        <f>CHAR(34)&amp;Combined[[#This Row],[Episode number from TVMaze]]&amp;CHAR(34)&amp;": "&amp;CHAR(34)&amp;Combined[[#This Row],[Path]]&amp;CHAR(34)&amp;","</f>
        <v>"S11E01": "/home/ziga/share/Series/Other/0 Home and Gardening/Grand Designs/Season 11/Grand Designs - S11E01 - Morpeth - The Derelict Mill Cottage.avi",</v>
      </c>
      <c r="K118" s="2" t="str">
        <f>IF(Combined[[#This Row],[Is name same]],Combined[[#This Row],[Episode number from TVMaze]],IF(Combined[[#This Row],[NFO created]]="No need",Combined[[#This Row],[Episode number from TVMaze]],""))</f>
        <v>S11E01</v>
      </c>
      <c r="L118" s="2" t="str">
        <f>CHAR(34)&amp;Combined[[#This Row],[Episode number from TVMaze]]&amp;CHAR(34)&amp;": "&amp;CHAR(34)&amp;Combined[[#This Row],[Correct TVDB episode number for getting image url]]&amp;CHAR(34)&amp;","</f>
        <v>"S11E01": "S11E01",</v>
      </c>
      <c r="M118" s="2" t="b">
        <f>Combined[[#This Row],[Correct TVDB episode number for getting image url]]=Combined[[#This Row],[Episode number from TVMaze]]</f>
        <v>1</v>
      </c>
      <c r="N118" s="2" t="str">
        <f>IF(Combined[[#This Row],[Have file]],IF(LEN(Combined[[#This Row],[Correct TVDB episode number for getting image url]])=0,"Find correct episode number for TheTVDB",""),"Find episode on the internet")</f>
        <v/>
      </c>
    </row>
    <row r="119" spans="1:14" x14ac:dyDescent="0.25">
      <c r="A119" t="str">
        <f>TVMaze[[#This Row],[Episode number]]</f>
        <v>S11E02</v>
      </c>
      <c r="B119" t="b">
        <f>IF(ISNUMBER(MATCH(Combined[Episode number from TVMaze],Files[Episode number],0)),TRUE,FALSE)</f>
        <v>1</v>
      </c>
      <c r="C119" t="str">
        <f>TVMaze[[#This Row],[Name]]</f>
        <v>London: The Contemporary Mansion</v>
      </c>
      <c r="D119" t="str">
        <f>VLOOKUP(Combined[[#This Row],[Episode number from TVMaze]],TVDB[],2,FALSE)</f>
        <v>London: The Contemporary Mansion</v>
      </c>
      <c r="E119" s="2" t="b">
        <f>_xlfn.IFNA(Combined[[#This Row],[Name from TVMaze]]=Combined[[#This Row],[Name from TVDB]],FALSE)</f>
        <v>1</v>
      </c>
      <c r="F119" s="2"/>
      <c r="G119" s="3">
        <f>VLOOKUP(Combined[[#This Row],[Episode number from TVMaze]],TVMazePython[],3,FALSE)</f>
        <v>40807</v>
      </c>
      <c r="H119" s="2" t="str">
        <f>VLOOKUP(Combined[[#This Row],[Episode number from TVMaze]],TVMazePython[],4,FALSE)</f>
        <v>Kevin McCloud meets Paul and Penny Denby, who are demolishing their mock-Georgian home on an exclusive south London estate to replace it with a contemporary mansion. The couple have no building experience and they struggle with many design decisions, finding themselves £250,000 short of the amount needed to finish the property.</v>
      </c>
      <c r="I119" s="2" t="str">
        <f>VLOOKUP(Combined[[#This Row],[Episode number from TVMaze]],Files[],3,FALSE)</f>
        <v>/home/ziga/share/Series/Other/0 Home and Gardening/Grand Designs/Season 11/Grand Designs - S11E02 - London - The Contemporary Mansion.avi</v>
      </c>
      <c r="J119" s="2" t="str">
        <f>CHAR(34)&amp;Combined[[#This Row],[Episode number from TVMaze]]&amp;CHAR(34)&amp;": "&amp;CHAR(34)&amp;Combined[[#This Row],[Path]]&amp;CHAR(34)&amp;","</f>
        <v>"S11E02": "/home/ziga/share/Series/Other/0 Home and Gardening/Grand Designs/Season 11/Grand Designs - S11E02 - London - The Contemporary Mansion.avi",</v>
      </c>
      <c r="K119" s="2" t="str">
        <f>IF(Combined[[#This Row],[Is name same]],Combined[[#This Row],[Episode number from TVMaze]],IF(Combined[[#This Row],[NFO created]]="No need",Combined[[#This Row],[Episode number from TVMaze]],""))</f>
        <v>S11E02</v>
      </c>
      <c r="L119" s="2" t="str">
        <f>CHAR(34)&amp;Combined[[#This Row],[Episode number from TVMaze]]&amp;CHAR(34)&amp;": "&amp;CHAR(34)&amp;Combined[[#This Row],[Correct TVDB episode number for getting image url]]&amp;CHAR(34)&amp;","</f>
        <v>"S11E02": "S11E02",</v>
      </c>
      <c r="M119" s="2" t="b">
        <f>Combined[[#This Row],[Correct TVDB episode number for getting image url]]=Combined[[#This Row],[Episode number from TVMaze]]</f>
        <v>1</v>
      </c>
      <c r="N119" s="2" t="str">
        <f>IF(Combined[[#This Row],[Have file]],IF(LEN(Combined[[#This Row],[Correct TVDB episode number for getting image url]])=0,"Find correct episode number for TheTVDB",""),"Find episode on the internet")</f>
        <v/>
      </c>
    </row>
    <row r="120" spans="1:14" x14ac:dyDescent="0.25">
      <c r="A120" t="str">
        <f>TVMaze[[#This Row],[Episode number]]</f>
        <v>S11E03</v>
      </c>
      <c r="B120" t="b">
        <f>IF(ISNUMBER(MATCH(Combined[Episode number from TVMaze],Files[Episode number],0)),TRUE,FALSE)</f>
        <v>1</v>
      </c>
      <c r="C120" t="str">
        <f>TVMaze[[#This Row],[Name]]</f>
        <v>Tenby: The Lifeboat Station</v>
      </c>
      <c r="D120" t="str">
        <f>VLOOKUP(Combined[[#This Row],[Episode number from TVMaze]],TVDB[],2,FALSE)</f>
        <v>Tenby: The Lifeboat Station</v>
      </c>
      <c r="E120" s="2" t="b">
        <f>_xlfn.IFNA(Combined[[#This Row],[Name from TVMaze]]=Combined[[#This Row],[Name from TVDB]],FALSE)</f>
        <v>1</v>
      </c>
      <c r="F120" s="2"/>
      <c r="G120" s="3">
        <f>VLOOKUP(Combined[[#This Row],[Episode number from TVMaze]],TVMazePython[],3,FALSE)</f>
        <v>40814</v>
      </c>
      <c r="H120" s="2" t="str">
        <f>VLOOKUP(Combined[[#This Row],[Episode number from TVMaze]],TVMazePython[],4,FALSE)</f>
        <v>Kevin McCloud meets Tim and Philomena O'Donovan, who are trying to convert a lifeboat station in Tenby, Pembrokeshire, into a contemporary home and preserve the historic building for posterity. A weather-worn, rusting and rotting hulk that was never designed for habitation, it is perched on a steel pier 40ft above the sea and can only be reached by crossing the sandy beach at low tide.</v>
      </c>
      <c r="I120" s="2" t="str">
        <f>VLOOKUP(Combined[[#This Row],[Episode number from TVMaze]],Files[],3,FALSE)</f>
        <v>/home/ziga/share/Series/Other/0 Home and Gardening/Grand Designs/Season 11/Grand Designs - S11E03 - Tenby - The Lifeboat Station.avi</v>
      </c>
      <c r="J120" s="2" t="str">
        <f>CHAR(34)&amp;Combined[[#This Row],[Episode number from TVMaze]]&amp;CHAR(34)&amp;": "&amp;CHAR(34)&amp;Combined[[#This Row],[Path]]&amp;CHAR(34)&amp;","</f>
        <v>"S11E03": "/home/ziga/share/Series/Other/0 Home and Gardening/Grand Designs/Season 11/Grand Designs - S11E03 - Tenby - The Lifeboat Station.avi",</v>
      </c>
      <c r="K120" s="2" t="str">
        <f>IF(Combined[[#This Row],[Is name same]],Combined[[#This Row],[Episode number from TVMaze]],IF(Combined[[#This Row],[NFO created]]="No need",Combined[[#This Row],[Episode number from TVMaze]],""))</f>
        <v>S11E03</v>
      </c>
      <c r="L120" s="2" t="str">
        <f>CHAR(34)&amp;Combined[[#This Row],[Episode number from TVMaze]]&amp;CHAR(34)&amp;": "&amp;CHAR(34)&amp;Combined[[#This Row],[Correct TVDB episode number for getting image url]]&amp;CHAR(34)&amp;","</f>
        <v>"S11E03": "S11E03",</v>
      </c>
      <c r="M120" s="2" t="b">
        <f>Combined[[#This Row],[Correct TVDB episode number for getting image url]]=Combined[[#This Row],[Episode number from TVMaze]]</f>
        <v>1</v>
      </c>
      <c r="N120" s="2" t="str">
        <f>IF(Combined[[#This Row],[Have file]],IF(LEN(Combined[[#This Row],[Correct TVDB episode number for getting image url]])=0,"Find correct episode number for TheTVDB",""),"Find episode on the internet")</f>
        <v/>
      </c>
    </row>
    <row r="121" spans="1:14" x14ac:dyDescent="0.25">
      <c r="A121" t="str">
        <f>TVMaze[[#This Row],[Episode number]]</f>
        <v>S11E04</v>
      </c>
      <c r="B121" t="b">
        <f>IF(ISNUMBER(MATCH(Combined[Episode number from TVMaze],Files[Episode number],0)),TRUE,FALSE)</f>
        <v>1</v>
      </c>
      <c r="C121" t="str">
        <f>TVMaze[[#This Row],[Name]]</f>
        <v>Essex: The Large Timber-framed Barn</v>
      </c>
      <c r="D121" t="str">
        <f>VLOOKUP(Combined[[#This Row],[Episode number from TVMaze]],TVDB[],2,FALSE)</f>
        <v>Essex: The Large Timber-framed Barn</v>
      </c>
      <c r="E121" s="2" t="b">
        <f>_xlfn.IFNA(Combined[[#This Row],[Name from TVMaze]]=Combined[[#This Row],[Name from TVDB]],FALSE)</f>
        <v>1</v>
      </c>
      <c r="F121" s="2"/>
      <c r="G121" s="3">
        <f>VLOOKUP(Combined[[#This Row],[Episode number from TVMaze]],TVMazePython[],3,FALSE)</f>
        <v>40821</v>
      </c>
      <c r="H121" s="2" t="str">
        <f>VLOOKUP(Combined[[#This Row],[Episode number from TVMaze]],TVMazePython[],4,FALSE)</f>
        <v>Kevin McCloud follows the conversion of a large, Grade II-listed timber-framed barn in Essex into a family home and work-space by artists Freddie Robbins and Ben Coode-Adams. Their plans involve few interior walls to display their collection of toys, but at seven times the size of an average three-bedroom house, the transformation of the 500-year-old building proves extremely challenging.</v>
      </c>
      <c r="I121" s="2" t="str">
        <f>VLOOKUP(Combined[[#This Row],[Episode number from TVMaze]],Files[],3,FALSE)</f>
        <v>/home/ziga/share/Series/Other/0 Home and Gardening/Grand Designs/Season 11/Grand Designs - S11E04 - Essex - The Large Timber-framed Barn.avi</v>
      </c>
      <c r="J121" s="2" t="str">
        <f>CHAR(34)&amp;Combined[[#This Row],[Episode number from TVMaze]]&amp;CHAR(34)&amp;": "&amp;CHAR(34)&amp;Combined[[#This Row],[Path]]&amp;CHAR(34)&amp;","</f>
        <v>"S11E04": "/home/ziga/share/Series/Other/0 Home and Gardening/Grand Designs/Season 11/Grand Designs - S11E04 - Essex - The Large Timber-framed Barn.avi",</v>
      </c>
      <c r="K121" s="2" t="str">
        <f>IF(Combined[[#This Row],[Is name same]],Combined[[#This Row],[Episode number from TVMaze]],IF(Combined[[#This Row],[NFO created]]="No need",Combined[[#This Row],[Episode number from TVMaze]],""))</f>
        <v>S11E04</v>
      </c>
      <c r="L121" s="2" t="str">
        <f>CHAR(34)&amp;Combined[[#This Row],[Episode number from TVMaze]]&amp;CHAR(34)&amp;": "&amp;CHAR(34)&amp;Combined[[#This Row],[Correct TVDB episode number for getting image url]]&amp;CHAR(34)&amp;","</f>
        <v>"S11E04": "S11E04",</v>
      </c>
      <c r="M121" s="2" t="b">
        <f>Combined[[#This Row],[Correct TVDB episode number for getting image url]]=Combined[[#This Row],[Episode number from TVMaze]]</f>
        <v>1</v>
      </c>
      <c r="N121" s="2" t="str">
        <f>IF(Combined[[#This Row],[Have file]],IF(LEN(Combined[[#This Row],[Correct TVDB episode number for getting image url]])=0,"Find correct episode number for TheTVDB",""),"Find episode on the internet")</f>
        <v/>
      </c>
    </row>
    <row r="122" spans="1:14" x14ac:dyDescent="0.25">
      <c r="A122" t="str">
        <f>TVMaze[[#This Row],[Episode number]]</f>
        <v>S11E05</v>
      </c>
      <c r="B122" t="b">
        <f>IF(ISNUMBER(MATCH(Combined[Episode number from TVMaze],Files[Episode number],0)),TRUE,FALSE)</f>
        <v>1</v>
      </c>
      <c r="C122" t="str">
        <f>TVMaze[[#This Row],[Name]]</f>
        <v>Herefordshire: The Recycled Timber-framed House</v>
      </c>
      <c r="D122" t="str">
        <f>VLOOKUP(Combined[[#This Row],[Episode number from TVMaze]],TVDB[],2,FALSE)</f>
        <v>Herefordshire: The Recycled Timber-framed House</v>
      </c>
      <c r="E122" s="2" t="b">
        <f>_xlfn.IFNA(Combined[[#This Row],[Name from TVMaze]]=Combined[[#This Row],[Name from TVDB]],FALSE)</f>
        <v>1</v>
      </c>
      <c r="F122" s="2"/>
      <c r="G122" s="3">
        <f>VLOOKUP(Combined[[#This Row],[Episode number from TVMaze]],TVMazePython[],3,FALSE)</f>
        <v>40828</v>
      </c>
      <c r="H122" s="2" t="str">
        <f>VLOOKUP(Combined[[#This Row],[Episode number from TVMaze]],TVMazePython[],4,FALSE)</f>
        <v>Kevin McCloud meets estate manager Ed Waghorn and his wife Rowena, a couple living an almost self-sufficient life with their four children on a smallholding in Herefordshire. They have been constructing a timber-framed house using recycled materials, wood from nearby forests and stone from around the site, but as construction becomes a way of life for Ed they seem to have lost sight of their goal.</v>
      </c>
      <c r="I122" s="2" t="str">
        <f>VLOOKUP(Combined[[#This Row],[Episode number from TVMaze]],Files[],3,FALSE)</f>
        <v>/home/ziga/share/Series/Other/0 Home and Gardening/Grand Designs/Season 11/Grand Designs - S11E05 - Herefordshire - The Recycled Timber-framed House.avi</v>
      </c>
      <c r="J122" s="2" t="str">
        <f>CHAR(34)&amp;Combined[[#This Row],[Episode number from TVMaze]]&amp;CHAR(34)&amp;": "&amp;CHAR(34)&amp;Combined[[#This Row],[Path]]&amp;CHAR(34)&amp;","</f>
        <v>"S11E05": "/home/ziga/share/Series/Other/0 Home and Gardening/Grand Designs/Season 11/Grand Designs - S11E05 - Herefordshire - The Recycled Timber-framed House.avi",</v>
      </c>
      <c r="K122" s="2" t="str">
        <f>IF(Combined[[#This Row],[Is name same]],Combined[[#This Row],[Episode number from TVMaze]],IF(Combined[[#This Row],[NFO created]]="No need",Combined[[#This Row],[Episode number from TVMaze]],""))</f>
        <v>S11E05</v>
      </c>
      <c r="L122" s="2" t="str">
        <f>CHAR(34)&amp;Combined[[#This Row],[Episode number from TVMaze]]&amp;CHAR(34)&amp;": "&amp;CHAR(34)&amp;Combined[[#This Row],[Correct TVDB episode number for getting image url]]&amp;CHAR(34)&amp;","</f>
        <v>"S11E05": "S11E05",</v>
      </c>
      <c r="M122" s="2" t="b">
        <f>Combined[[#This Row],[Correct TVDB episode number for getting image url]]=Combined[[#This Row],[Episode number from TVMaze]]</f>
        <v>1</v>
      </c>
      <c r="N122" s="2" t="str">
        <f>IF(Combined[[#This Row],[Have file]],IF(LEN(Combined[[#This Row],[Correct TVDB episode number for getting image url]])=0,"Find correct episode number for TheTVDB",""),"Find episode on the internet")</f>
        <v/>
      </c>
    </row>
    <row r="123" spans="1:14" x14ac:dyDescent="0.25">
      <c r="A123" t="str">
        <f>TVMaze[[#This Row],[Episode number]]</f>
        <v>S11E06</v>
      </c>
      <c r="B123" t="b">
        <f>IF(ISNUMBER(MATCH(Combined[Episode number from TVMaze],Files[Episode number],0)),TRUE,FALSE)</f>
        <v>1</v>
      </c>
      <c r="C123" t="str">
        <f>TVMaze[[#This Row],[Name]]</f>
        <v>Cornwall: The Dilapidated Engine House</v>
      </c>
      <c r="D123" t="str">
        <f>VLOOKUP(Combined[[#This Row],[Episode number from TVMaze]],TVDB[],2,FALSE)</f>
        <v>Cornwall: The Dilapidated Engine House</v>
      </c>
      <c r="E123" s="2" t="b">
        <f>_xlfn.IFNA(Combined[[#This Row],[Name from TVMaze]]=Combined[[#This Row],[Name from TVDB]],FALSE)</f>
        <v>1</v>
      </c>
      <c r="F123" s="2"/>
      <c r="G123" s="3">
        <f>VLOOKUP(Combined[[#This Row],[Episode number from TVMaze]],TVMazePython[],3,FALSE)</f>
        <v>40835</v>
      </c>
      <c r="H123" s="2" t="str">
        <f>VLOOKUP(Combined[[#This Row],[Episode number from TVMaze]],TVMazePython[],4,FALSE)</f>
        <v>Stonemason Adam Purchase and his partner Nicola Brennan try to restore a dilapidated Grade II-listed engine house in Cornwall, which was formerly part of a silver mine. With a budget of £100,000, Adam takes a year off work to transform the property into a new home, but has to rely on favours to complete the project before he runs out of time.</v>
      </c>
      <c r="I123" s="2" t="str">
        <f>VLOOKUP(Combined[[#This Row],[Episode number from TVMaze]],Files[],3,FALSE)</f>
        <v>/home/ziga/share/Series/Other/0 Home and Gardening/Grand Designs/Season 11/Grand Designs - S11E06 - Cornwall - The Dilapidated Engine House.avi</v>
      </c>
      <c r="J123" s="2" t="str">
        <f>CHAR(34)&amp;Combined[[#This Row],[Episode number from TVMaze]]&amp;CHAR(34)&amp;": "&amp;CHAR(34)&amp;Combined[[#This Row],[Path]]&amp;CHAR(34)&amp;","</f>
        <v>"S11E06": "/home/ziga/share/Series/Other/0 Home and Gardening/Grand Designs/Season 11/Grand Designs - S11E06 - Cornwall - The Dilapidated Engine House.avi",</v>
      </c>
      <c r="K123" s="2" t="str">
        <f>IF(Combined[[#This Row],[Is name same]],Combined[[#This Row],[Episode number from TVMaze]],IF(Combined[[#This Row],[NFO created]]="No need",Combined[[#This Row],[Episode number from TVMaze]],""))</f>
        <v>S11E06</v>
      </c>
      <c r="L123" s="2" t="str">
        <f>CHAR(34)&amp;Combined[[#This Row],[Episode number from TVMaze]]&amp;CHAR(34)&amp;": "&amp;CHAR(34)&amp;Combined[[#This Row],[Correct TVDB episode number for getting image url]]&amp;CHAR(34)&amp;","</f>
        <v>"S11E06": "S11E06",</v>
      </c>
      <c r="M123" s="2" t="b">
        <f>Combined[[#This Row],[Correct TVDB episode number for getting image url]]=Combined[[#This Row],[Episode number from TVMaze]]</f>
        <v>1</v>
      </c>
      <c r="N123" s="2" t="str">
        <f>IF(Combined[[#This Row],[Have file]],IF(LEN(Combined[[#This Row],[Correct TVDB episode number for getting image url]])=0,"Find correct episode number for TheTVDB",""),"Find episode on the internet")</f>
        <v/>
      </c>
    </row>
    <row r="124" spans="1:14" x14ac:dyDescent="0.25">
      <c r="A124" t="str">
        <f>TVMaze[[#This Row],[Episode number]]</f>
        <v>S11E07</v>
      </c>
      <c r="B124" t="b">
        <f>IF(ISNUMBER(MATCH(Combined[Episode number from TVMaze],Files[Episode number],0)),TRUE,FALSE)</f>
        <v>1</v>
      </c>
      <c r="C124" t="str">
        <f>TVMaze[[#This Row],[Name]]</f>
        <v>London: The Disco Home</v>
      </c>
      <c r="D124" t="str">
        <f>VLOOKUP(Combined[[#This Row],[Episode number from TVMaze]],TVDB[],2,FALSE)</f>
        <v>London: The Disco Home</v>
      </c>
      <c r="E124" s="2" t="b">
        <f>_xlfn.IFNA(Combined[[#This Row],[Name from TVMaze]]=Combined[[#This Row],[Name from TVDB]],FALSE)</f>
        <v>1</v>
      </c>
      <c r="F124" s="2"/>
      <c r="G124" s="3">
        <f>VLOOKUP(Combined[[#This Row],[Episode number from TVMaze]],TVMazePython[],3,FALSE)</f>
        <v>40842</v>
      </c>
      <c r="H124" s="2" t="str">
        <f>VLOOKUP(Combined[[#This Row],[Episode number from TVMaze]],TVMazePython[],4,FALSE)</f>
        <v>Kevin McCloud meets Claire Farrow and Ian Hogarth, who are trying to construct a home containing a sauna, spa, dance floor and DJ booth on a small patch of land in London. They have applied for planning permission to include a basement and started work on the construction, but setbacks including their digger smashing into a neighbour's wall and the re-emergence of the old river under the project threaten to prevent them completing the build.</v>
      </c>
      <c r="I124" s="2" t="str">
        <f>VLOOKUP(Combined[[#This Row],[Episode number from TVMaze]],Files[],3,FALSE)</f>
        <v>/home/ziga/share/Series/Other/0 Home and Gardening/Grand Designs/Season 11/Grand Designs - S11E07 - London - The Disco Home.avi</v>
      </c>
      <c r="J124" s="2" t="str">
        <f>CHAR(34)&amp;Combined[[#This Row],[Episode number from TVMaze]]&amp;CHAR(34)&amp;": "&amp;CHAR(34)&amp;Combined[[#This Row],[Path]]&amp;CHAR(34)&amp;","</f>
        <v>"S11E07": "/home/ziga/share/Series/Other/0 Home and Gardening/Grand Designs/Season 11/Grand Designs - S11E07 - London - The Disco Home.avi",</v>
      </c>
      <c r="K124" s="2" t="str">
        <f>IF(Combined[[#This Row],[Is name same]],Combined[[#This Row],[Episode number from TVMaze]],IF(Combined[[#This Row],[NFO created]]="No need",Combined[[#This Row],[Episode number from TVMaze]],""))</f>
        <v>S11E07</v>
      </c>
      <c r="L124" s="2" t="str">
        <f>CHAR(34)&amp;Combined[[#This Row],[Episode number from TVMaze]]&amp;CHAR(34)&amp;": "&amp;CHAR(34)&amp;Combined[[#This Row],[Correct TVDB episode number for getting image url]]&amp;CHAR(34)&amp;","</f>
        <v>"S11E07": "S11E07",</v>
      </c>
      <c r="M124" s="2" t="b">
        <f>Combined[[#This Row],[Correct TVDB episode number for getting image url]]=Combined[[#This Row],[Episode number from TVMaze]]</f>
        <v>1</v>
      </c>
      <c r="N124" s="2" t="str">
        <f>IF(Combined[[#This Row],[Have file]],IF(LEN(Combined[[#This Row],[Correct TVDB episode number for getting image url]])=0,"Find correct episode number for TheTVDB",""),"Find episode on the internet")</f>
        <v/>
      </c>
    </row>
    <row r="125" spans="1:14" x14ac:dyDescent="0.25">
      <c r="A125" t="str">
        <f>TVMaze[[#This Row],[Episode number]]</f>
        <v>S11E08</v>
      </c>
      <c r="B125" t="b">
        <f>IF(ISNUMBER(MATCH(Combined[Episode number from TVMaze],Files[Episode number],0)),TRUE,FALSE)</f>
        <v>1</v>
      </c>
      <c r="C125" t="str">
        <f>TVMaze[[#This Row],[Name]]</f>
        <v>Revisited - Lake District: The Dome House (Revisited from S10 Ep8)</v>
      </c>
      <c r="D125" t="str">
        <f>VLOOKUP(Combined[[#This Row],[Episode number from TVMaze]],TVDB[],2,FALSE)</f>
        <v>Revisited - London: The Disco Home</v>
      </c>
      <c r="E125" s="2" t="b">
        <f>_xlfn.IFNA(Combined[[#This Row],[Name from TVMaze]]=Combined[[#This Row],[Name from TVDB]],FALSE)</f>
        <v>0</v>
      </c>
      <c r="F125" s="2" t="s">
        <v>1317</v>
      </c>
      <c r="G125" s="3">
        <f>VLOOKUP(Combined[[#This Row],[Episode number from TVMaze]],TVMazePython[],3,FALSE)</f>
        <v>40849</v>
      </c>
      <c r="H125" s="2" t="str">
        <f>VLOOKUP(Combined[[#This Row],[Episode number from TVMaze]],TVMazePython[],4,FALSE)</f>
        <v>Kevin McCloud revisits Robert and Milla Gaukroger, who were in danger of their bank foreclosing on their unfinished timber house with views of Lake Windermere when he last saw them. They had begun construction with only a quarter of the £400,000 budget needed, and the physical effort of turning the 1980s property into an eco-home that mirrored the surrounding mountains had begun to put Robert's health at risk.</v>
      </c>
      <c r="I125" s="2" t="str">
        <f>VLOOKUP(Combined[[#This Row],[Episode number from TVMaze]],Files[],3,FALSE)</f>
        <v>/home/ziga/share/Series/Other/0 Home and Gardening/Grand Designs/Season 11/Grand Designs - S11E08 - Revisited - Lake District - The Dome House.avi</v>
      </c>
      <c r="J125" s="2" t="str">
        <f>CHAR(34)&amp;Combined[[#This Row],[Episode number from TVMaze]]&amp;CHAR(34)&amp;": "&amp;CHAR(34)&amp;Combined[[#This Row],[Path]]&amp;CHAR(34)&amp;","</f>
        <v>"S11E08": "/home/ziga/share/Series/Other/0 Home and Gardening/Grand Designs/Season 11/Grand Designs - S11E08 - Revisited - Lake District - The Dome House.avi",</v>
      </c>
      <c r="K125" s="2" t="s">
        <v>932</v>
      </c>
      <c r="L125" s="2" t="str">
        <f>CHAR(34)&amp;Combined[[#This Row],[Episode number from TVMaze]]&amp;CHAR(34)&amp;": "&amp;CHAR(34)&amp;Combined[[#This Row],[Correct TVDB episode number for getting image url]]&amp;CHAR(34)&amp;","</f>
        <v>"S11E08": "S10E09",</v>
      </c>
      <c r="M125" s="2" t="b">
        <f>Combined[[#This Row],[Correct TVDB episode number for getting image url]]=Combined[[#This Row],[Episode number from TVMaze]]</f>
        <v>0</v>
      </c>
      <c r="N125" s="2" t="str">
        <f>IF(Combined[[#This Row],[Have file]],IF(LEN(Combined[[#This Row],[Correct TVDB episode number for getting image url]])=0,"Find correct episode number for TheTVDB",""),"Find episode on the internet")</f>
        <v/>
      </c>
    </row>
    <row r="126" spans="1:14" x14ac:dyDescent="0.25">
      <c r="A126" t="str">
        <f>TVMaze[[#This Row],[Episode number]]</f>
        <v>S11E09</v>
      </c>
      <c r="B126" t="b">
        <f>IF(ISNUMBER(MATCH(Combined[Episode number from TVMaze],Files[Episode number],0)),TRUE,FALSE)</f>
        <v>1</v>
      </c>
      <c r="C126" t="str">
        <f>TVMaze[[#This Row],[Name]]</f>
        <v>Revisited - Kent: The Eco Arch (Revisited from S9 Ep4)</v>
      </c>
      <c r="D126" t="str">
        <f>VLOOKUP(Combined[[#This Row],[Episode number from TVMaze]],TVDB[],2,FALSE)</f>
        <v>Revisited - Essex: The Large Timber-framed Barn</v>
      </c>
      <c r="E126" s="2" t="b">
        <f>_xlfn.IFNA(Combined[[#This Row],[Name from TVMaze]]=Combined[[#This Row],[Name from TVDB]],FALSE)</f>
        <v>0</v>
      </c>
      <c r="F126" s="2" t="s">
        <v>1317</v>
      </c>
      <c r="G126" s="3">
        <f>VLOOKUP(Combined[[#This Row],[Episode number from TVMaze]],TVMazePython[],3,FALSE)</f>
        <v>40856</v>
      </c>
      <c r="H126" s="2" t="str">
        <f>VLOOKUP(Combined[[#This Row],[Episode number from TVMaze]],TVMazePython[],4,FALSE)</f>
        <v>Kevin McCloud revisits an arch-shaped home made of clay tiles in the Weald of Kent, built by Richard Hawkes, who designed the property, and his wife Sophie. It was intended to be self-sufficient in energy and supply some to the national grid but serious problems occurred when the arch collapsed during construction, so the presenter returns to see if their innovative home has lived up to its promise.</v>
      </c>
      <c r="I126" s="2" t="str">
        <f>VLOOKUP(Combined[[#This Row],[Episode number from TVMaze]],Files[],3,FALSE)</f>
        <v>/home/ziga/share/Series/Other/0 Home and Gardening/Grand Designs/Season 11/Grand Designs - S11E09 - Revisited - Kent - The Eco Arch.avi</v>
      </c>
      <c r="J126" s="2" t="str">
        <f>CHAR(34)&amp;Combined[[#This Row],[Episode number from TVMaze]]&amp;CHAR(34)&amp;": "&amp;CHAR(34)&amp;Combined[[#This Row],[Path]]&amp;CHAR(34)&amp;","</f>
        <v>"S11E09": "/home/ziga/share/Series/Other/0 Home and Gardening/Grand Designs/Season 11/Grand Designs - S11E09 - Revisited - Kent - The Eco Arch.avi",</v>
      </c>
      <c r="K126" s="2" t="s">
        <v>922</v>
      </c>
      <c r="L126" s="2" t="str">
        <f>CHAR(34)&amp;Combined[[#This Row],[Episode number from TVMaze]]&amp;CHAR(34)&amp;": "&amp;CHAR(34)&amp;Combined[[#This Row],[Correct TVDB episode number for getting image url]]&amp;CHAR(34)&amp;","</f>
        <v>"S11E09": "S09E10",</v>
      </c>
      <c r="M126" s="2" t="b">
        <f>Combined[[#This Row],[Correct TVDB episode number for getting image url]]=Combined[[#This Row],[Episode number from TVMaze]]</f>
        <v>0</v>
      </c>
      <c r="N126" s="2" t="str">
        <f>IF(Combined[[#This Row],[Have file]],IF(LEN(Combined[[#This Row],[Correct TVDB episode number for getting image url]])=0,"Find correct episode number for TheTVDB",""),"Find episode on the internet")</f>
        <v/>
      </c>
    </row>
    <row r="127" spans="1:14" x14ac:dyDescent="0.25">
      <c r="A127" t="str">
        <f>TVMaze[[#This Row],[Episode number]]</f>
        <v>S11E10</v>
      </c>
      <c r="B127" t="b">
        <f>IF(ISNUMBER(MATCH(Combined[Episode number from TVMaze],Files[Episode number],0)),TRUE,FALSE)</f>
        <v>1</v>
      </c>
      <c r="C127" t="str">
        <f>TVMaze[[#This Row],[Name]]</f>
        <v>Revisited - Ashford, Kent: The Water Tower Conversion (Revisited from S6 Ep4)</v>
      </c>
      <c r="D127" t="e">
        <f>VLOOKUP(Combined[[#This Row],[Episode number from TVMaze]],TVDB[],2,FALSE)</f>
        <v>#N/A</v>
      </c>
      <c r="E127" s="2" t="b">
        <f>_xlfn.IFNA(Combined[[#This Row],[Name from TVMaze]]=Combined[[#This Row],[Name from TVDB]],FALSE)</f>
        <v>0</v>
      </c>
      <c r="F127" s="2" t="s">
        <v>1317</v>
      </c>
      <c r="G127" s="3">
        <f>VLOOKUP(Combined[[#This Row],[Episode number from TVMaze]],TVMazePython[],3,FALSE)</f>
        <v>40863</v>
      </c>
      <c r="H127" s="2" t="str">
        <f>VLOOKUP(Combined[[#This Row],[Episode number from TVMaze]],TVMazePython[],4,FALSE)</f>
        <v>Kevin McCloud revisits Denise and Bruno Del Tufo, who hoped to transform a concrete water tower designed by Edwin Lutyens into a contemporary home. Kevin was originally far from enthusiastic about their project, believing the original building to be ugly and brutal in its design – but the couple soon had other problems to worry about, as rising steel prices forced them to make drastic changes to their budget.</v>
      </c>
      <c r="I127" s="2" t="str">
        <f>VLOOKUP(Combined[[#This Row],[Episode number from TVMaze]],Files[],3,FALSE)</f>
        <v>/home/ziga/share/Series/Other/0 Home and Gardening/Grand Designs/Season 11/Grand Designs - S11E10 - Revisited - Ashford Kent - The Water Tower Conversion.avi</v>
      </c>
      <c r="J127" s="2" t="str">
        <f>CHAR(34)&amp;Combined[[#This Row],[Episode number from TVMaze]]&amp;CHAR(34)&amp;": "&amp;CHAR(34)&amp;Combined[[#This Row],[Path]]&amp;CHAR(34)&amp;","</f>
        <v>"S11E10": "/home/ziga/share/Series/Other/0 Home and Gardening/Grand Designs/Season 11/Grand Designs - S11E10 - Revisited - Ashford Kent - The Water Tower Conversion.avi",</v>
      </c>
      <c r="K127" s="2" t="s">
        <v>892</v>
      </c>
      <c r="L127" s="2" t="str">
        <f>CHAR(34)&amp;Combined[[#This Row],[Episode number from TVMaze]]&amp;CHAR(34)&amp;": "&amp;CHAR(34)&amp;Combined[[#This Row],[Correct TVDB episode number for getting image url]]&amp;CHAR(34)&amp;","</f>
        <v>"S11E10": "S06E07",</v>
      </c>
      <c r="M127" s="2" t="b">
        <f>Combined[[#This Row],[Correct TVDB episode number for getting image url]]=Combined[[#This Row],[Episode number from TVMaze]]</f>
        <v>0</v>
      </c>
      <c r="N127" s="2" t="str">
        <f>IF(Combined[[#This Row],[Have file]],IF(LEN(Combined[[#This Row],[Correct TVDB episode number for getting image url]])=0,"Find correct episode number for TheTVDB",""),"Find episode on the internet")</f>
        <v/>
      </c>
    </row>
    <row r="128" spans="1:14" x14ac:dyDescent="0.25">
      <c r="A128" t="str">
        <f>TVMaze[[#This Row],[Episode number]]</f>
        <v>S11E11</v>
      </c>
      <c r="B128" t="b">
        <f>IF(ISNUMBER(MATCH(Combined[Episode number from TVMaze],Files[Episode number],0)),TRUE,FALSE)</f>
        <v>1</v>
      </c>
      <c r="C128" t="str">
        <f>TVMaze[[#This Row],[Name]]</f>
        <v>Revisited - Cumbria: The Adaptahaus (Revisited from S10 Ep7)</v>
      </c>
      <c r="D128" t="e">
        <f>VLOOKUP(Combined[[#This Row],[Episode number from TVMaze]],TVDB[],2,FALSE)</f>
        <v>#N/A</v>
      </c>
      <c r="E128" s="2" t="b">
        <f>_xlfn.IFNA(Combined[[#This Row],[Name from TVMaze]]=Combined[[#This Row],[Name from TVDB]],FALSE)</f>
        <v>0</v>
      </c>
      <c r="F128" s="2" t="s">
        <v>1317</v>
      </c>
      <c r="G128" s="3">
        <f>VLOOKUP(Combined[[#This Row],[Episode number from TVMaze]],TVMazePython[],3,FALSE)</f>
        <v>40870</v>
      </c>
      <c r="H128" s="2" t="str">
        <f>VLOOKUP(Combined[[#This Row],[Episode number from TVMaze]],TVMazePython[],4,FALSE)</f>
        <v>Kevin McCloud revisits Alan and Judith Dawson in west Cumbria, where they began constructing a prefabricated home in 2009. They employed a method of building that should have allowed them to assemble the home in just 15 days on a budget of £300,000, and the presenter returns to find out whether they were successful.</v>
      </c>
      <c r="I128" s="2" t="str">
        <f>VLOOKUP(Combined[[#This Row],[Episode number from TVMaze]],Files[],3,FALSE)</f>
        <v>/home/ziga/share/Series/Other/0 Home and Gardening/Grand Designs/Season 11/Grand Designs - S11E11 - Revisited - Cumbria - The Adaptahaus.avi</v>
      </c>
      <c r="J128" s="2" t="str">
        <f>CHAR(34)&amp;Combined[[#This Row],[Episode number from TVMaze]]&amp;CHAR(34)&amp;": "&amp;CHAR(34)&amp;Combined[[#This Row],[Path]]&amp;CHAR(34)&amp;","</f>
        <v>"S11E11": "/home/ziga/share/Series/Other/0 Home and Gardening/Grand Designs/Season 11/Grand Designs - S11E11 - Revisited - Cumbria - The Adaptahaus.avi",</v>
      </c>
      <c r="K128" s="2" t="s">
        <v>933</v>
      </c>
      <c r="L128" s="2" t="str">
        <f>CHAR(34)&amp;Combined[[#This Row],[Episode number from TVMaze]]&amp;CHAR(34)&amp;": "&amp;CHAR(34)&amp;Combined[[#This Row],[Correct TVDB episode number for getting image url]]&amp;CHAR(34)&amp;","</f>
        <v>"S11E11": "S10E10",</v>
      </c>
      <c r="M128" s="2" t="b">
        <f>Combined[[#This Row],[Correct TVDB episode number for getting image url]]=Combined[[#This Row],[Episode number from TVMaze]]</f>
        <v>0</v>
      </c>
      <c r="N128" s="2" t="str">
        <f>IF(Combined[[#This Row],[Have file]],IF(LEN(Combined[[#This Row],[Correct TVDB episode number for getting image url]])=0,"Find correct episode number for TheTVDB",""),"Find episode on the internet")</f>
        <v/>
      </c>
    </row>
    <row r="129" spans="1:14" x14ac:dyDescent="0.25">
      <c r="A129" t="str">
        <f>TVMaze[[#This Row],[Episode number]]</f>
        <v>S11E12</v>
      </c>
      <c r="B129" t="b">
        <f>IF(ISNUMBER(MATCH(Combined[Episode number from TVMaze],Files[Episode number],0)),TRUE,FALSE)</f>
        <v>1</v>
      </c>
      <c r="C129" t="str">
        <f>TVMaze[[#This Row],[Name]]</f>
        <v>Revisited - Kent: The Headcorn Minimalist House (Revisited from S9 Ep7)</v>
      </c>
      <c r="D129" t="e">
        <f>VLOOKUP(Combined[[#This Row],[Episode number from TVMaze]],TVDB[],2,FALSE)</f>
        <v>#N/A</v>
      </c>
      <c r="E129" s="2" t="b">
        <f>_xlfn.IFNA(Combined[[#This Row],[Name from TVMaze]]=Combined[[#This Row],[Name from TVDB]],FALSE)</f>
        <v>0</v>
      </c>
      <c r="F129" s="2" t="s">
        <v>1317</v>
      </c>
      <c r="G129" s="3">
        <f>VLOOKUP(Combined[[#This Row],[Episode number from TVMaze]],TVMazePython[],3,FALSE)</f>
        <v>40877</v>
      </c>
      <c r="H129" s="2" t="str">
        <f>VLOOKUP(Combined[[#This Row],[Episode number from TVMaze]],TVMazePython[],4,FALSE)</f>
        <v>Kevin McCloud revisits a couple who took on the task of constructing a sustainable two-storey timber house heated by glass panels in the Kent countryside. Mimi da Costa managed the project despite a lack of experience, while her husband worked, and intended to have it completed in 16 weeks. But as the complex build threatened to drag on for months it became unclear whether their home would succeed in blending into the landscape and providing them with a greener, healthier lifestyle.</v>
      </c>
      <c r="I129" s="2" t="str">
        <f>VLOOKUP(Combined[[#This Row],[Episode number from TVMaze]],Files[],3,FALSE)</f>
        <v>/home/ziga/share/Series/Other/0 Home and Gardening/Grand Designs/Season 11/Grand Designs - S11E12 - Revisited - Kent - The Headcorn Minimalist House.avi</v>
      </c>
      <c r="J129" s="2" t="str">
        <f>CHAR(34)&amp;Combined[[#This Row],[Episode number from TVMaze]]&amp;CHAR(34)&amp;": "&amp;CHAR(34)&amp;Combined[[#This Row],[Path]]&amp;CHAR(34)&amp;","</f>
        <v>"S11E12": "/home/ziga/share/Series/Other/0 Home and Gardening/Grand Designs/Season 11/Grand Designs - S11E12 - Revisited - Kent - The Headcorn Minimalist House.avi",</v>
      </c>
      <c r="K129" s="2" t="s">
        <v>923</v>
      </c>
      <c r="L129" s="2" t="str">
        <f>CHAR(34)&amp;Combined[[#This Row],[Episode number from TVMaze]]&amp;CHAR(34)&amp;": "&amp;CHAR(34)&amp;Combined[[#This Row],[Correct TVDB episode number for getting image url]]&amp;CHAR(34)&amp;","</f>
        <v>"S11E12": "S09E11",</v>
      </c>
      <c r="M129" s="2" t="b">
        <f>Combined[[#This Row],[Correct TVDB episode number for getting image url]]=Combined[[#This Row],[Episode number from TVMaze]]</f>
        <v>0</v>
      </c>
      <c r="N129" s="2" t="str">
        <f>IF(Combined[[#This Row],[Have file]],IF(LEN(Combined[[#This Row],[Correct TVDB episode number for getting image url]])=0,"Find correct episode number for TheTVDB",""),"Find episode on the internet")</f>
        <v/>
      </c>
    </row>
    <row r="130" spans="1:14" x14ac:dyDescent="0.25">
      <c r="A130" t="str">
        <f>TVMaze[[#This Row],[Episode number]]</f>
        <v>S12E01</v>
      </c>
      <c r="B130" t="b">
        <f>IF(ISNUMBER(MATCH(Combined[Episode number from TVMaze],Files[Episode number],0)),TRUE,FALSE)</f>
        <v>1</v>
      </c>
      <c r="C130" t="str">
        <f>TVMaze[[#This Row],[Name]]</f>
        <v>Roscommon, Ireland: Cloontykilla Castle</v>
      </c>
      <c r="D130" t="str">
        <f>VLOOKUP(Combined[[#This Row],[Episode number from TVMaze]],TVDB[],2,FALSE)</f>
        <v>Roscommon, Ireland: Cloontykilla Castle</v>
      </c>
      <c r="E130" s="2" t="b">
        <f>_xlfn.IFNA(Combined[[#This Row],[Name from TVMaze]]=Combined[[#This Row],[Name from TVDB]],FALSE)</f>
        <v>1</v>
      </c>
      <c r="F130" s="2"/>
      <c r="G130" s="3">
        <f>VLOOKUP(Combined[[#This Row],[Episode number from TVMaze]],TVMazePython[],3,FALSE)</f>
        <v>41164</v>
      </c>
      <c r="H130" s="2" t="str">
        <f>VLOOKUP(Combined[[#This Row],[Episode number from TVMaze]],TVMazePython[],4,FALSE)</f>
        <v>Kevin McCloud meets more people trying to build dream homes, beginning with Sean Simons, who bought the ruins of Cloontykilla Castle in the Irish county of Roscommon with a view to using them to create a spectacular mock-16th-century home. However, the outlandish plans - including jacuzzis in the battlements and water-spouting gargoyles - have Kevin worried the project could become a garish nightmare, and his scepticism increases when he realises Sean has not consulted an architect. Disaster seems to be looming as the contractors get frustrated and planning regulations are ignored, but somehow things begin to slowly take shape - until a national economic crisis plunges everything into chaos.</v>
      </c>
      <c r="I130" s="2" t="str">
        <f>VLOOKUP(Combined[[#This Row],[Episode number from TVMaze]],Files[],3,FALSE)</f>
        <v>/home/ziga/share/Series/Other/0 Home and Gardening/Grand Designs/Season 12/Grand Designs - S12E01 - Roscommon Ireland - Cloontykilla Castle.avi</v>
      </c>
      <c r="J130" s="2" t="str">
        <f>CHAR(34)&amp;Combined[[#This Row],[Episode number from TVMaze]]&amp;CHAR(34)&amp;": "&amp;CHAR(34)&amp;Combined[[#This Row],[Path]]&amp;CHAR(34)&amp;","</f>
        <v>"S12E01": "/home/ziga/share/Series/Other/0 Home and Gardening/Grand Designs/Season 12/Grand Designs - S12E01 - Roscommon Ireland - Cloontykilla Castle.avi",</v>
      </c>
      <c r="K130" s="2" t="str">
        <f>IF(Combined[[#This Row],[Is name same]],Combined[[#This Row],[Episode number from TVMaze]],IF(Combined[[#This Row],[NFO created]]="No need",Combined[[#This Row],[Episode number from TVMaze]],""))</f>
        <v>S12E01</v>
      </c>
      <c r="L130" s="2" t="str">
        <f>CHAR(34)&amp;Combined[[#This Row],[Episode number from TVMaze]]&amp;CHAR(34)&amp;": "&amp;CHAR(34)&amp;Combined[[#This Row],[Correct TVDB episode number for getting image url]]&amp;CHAR(34)&amp;","</f>
        <v>"S12E01": "S12E01",</v>
      </c>
      <c r="M130" s="2" t="b">
        <f>Combined[[#This Row],[Correct TVDB episode number for getting image url]]=Combined[[#This Row],[Episode number from TVMaze]]</f>
        <v>1</v>
      </c>
      <c r="N130" s="2" t="str">
        <f>IF(Combined[[#This Row],[Have file]],IF(LEN(Combined[[#This Row],[Correct TVDB episode number for getting image url]])=0,"Find correct episode number for TheTVDB",""),"Find episode on the internet")</f>
        <v/>
      </c>
    </row>
    <row r="131" spans="1:14" x14ac:dyDescent="0.25">
      <c r="A131" t="str">
        <f>TVMaze[[#This Row],[Episode number]]</f>
        <v>S12E02</v>
      </c>
      <c r="B131" t="b">
        <f>IF(ISNUMBER(MATCH(Combined[Episode number from TVMaze],Files[Episode number],0)),TRUE,FALSE)</f>
        <v>1</v>
      </c>
      <c r="C131" t="str">
        <f>TVMaze[[#This Row],[Name]]</f>
        <v>Hertfordshire: The Computer-cut House</v>
      </c>
      <c r="D131" t="str">
        <f>VLOOKUP(Combined[[#This Row],[Episode number from TVMaze]],TVDB[],2,FALSE)</f>
        <v>Hertfordshire: The Computer-cut House</v>
      </c>
      <c r="E131" s="2" t="b">
        <f>_xlfn.IFNA(Combined[[#This Row],[Name from TVMaze]]=Combined[[#This Row],[Name from TVDB]],FALSE)</f>
        <v>1</v>
      </c>
      <c r="F131" s="2"/>
      <c r="G131" s="3">
        <f>VLOOKUP(Combined[[#This Row],[Episode number from TVMaze]],TVMazePython[],3,FALSE)</f>
        <v>41171</v>
      </c>
      <c r="H131" s="2" t="str">
        <f>VLOOKUP(Combined[[#This Row],[Episode number from TVMaze]],TVMazePython[],4,FALSE)</f>
        <v>Kevin McCloud meets a pair of civil-partnered university professors who have decided to build their first home from scratch. In addition to all the complications this usually entails, Celia Brackenridge and Diana Woodward have also enlisted the services of industrial designers who have developed a new computer-assisted method for cutting precision-engineered building blocks from scratch. However, though the technique may be clever, its creators have never created a building before - meaning everyone involved with the project is taking a giant leap into the unknown.</v>
      </c>
      <c r="I131" s="2" t="str">
        <f>VLOOKUP(Combined[[#This Row],[Episode number from TVMaze]],Files[],3,FALSE)</f>
        <v>/home/ziga/share/Series/Other/0 Home and Gardening/Grand Designs/Season 12/Grand Designs - S12E02 - Hertfordshire - The Computer-cut House.avi</v>
      </c>
      <c r="J131" s="2" t="str">
        <f>CHAR(34)&amp;Combined[[#This Row],[Episode number from TVMaze]]&amp;CHAR(34)&amp;": "&amp;CHAR(34)&amp;Combined[[#This Row],[Path]]&amp;CHAR(34)&amp;","</f>
        <v>"S12E02": "/home/ziga/share/Series/Other/0 Home and Gardening/Grand Designs/Season 12/Grand Designs - S12E02 - Hertfordshire - The Computer-cut House.avi",</v>
      </c>
      <c r="K131" s="2" t="str">
        <f>IF(Combined[[#This Row],[Is name same]],Combined[[#This Row],[Episode number from TVMaze]],IF(Combined[[#This Row],[NFO created]]="No need",Combined[[#This Row],[Episode number from TVMaze]],""))</f>
        <v>S12E02</v>
      </c>
      <c r="L131" s="2" t="str">
        <f>CHAR(34)&amp;Combined[[#This Row],[Episode number from TVMaze]]&amp;CHAR(34)&amp;": "&amp;CHAR(34)&amp;Combined[[#This Row],[Correct TVDB episode number for getting image url]]&amp;CHAR(34)&amp;","</f>
        <v>"S12E02": "S12E02",</v>
      </c>
      <c r="M131" s="2" t="b">
        <f>Combined[[#This Row],[Correct TVDB episode number for getting image url]]=Combined[[#This Row],[Episode number from TVMaze]]</f>
        <v>1</v>
      </c>
      <c r="N131" s="2" t="str">
        <f>IF(Combined[[#This Row],[Have file]],IF(LEN(Combined[[#This Row],[Correct TVDB episode number for getting image url]])=0,"Find correct episode number for TheTVDB",""),"Find episode on the internet")</f>
        <v/>
      </c>
    </row>
    <row r="132" spans="1:14" x14ac:dyDescent="0.25">
      <c r="A132" t="str">
        <f>TVMaze[[#This Row],[Episode number]]</f>
        <v>S12E03</v>
      </c>
      <c r="B132" t="b">
        <f>IF(ISNUMBER(MATCH(Combined[Episode number from TVMaze],Files[Episode number],0)),TRUE,FALSE)</f>
        <v>1</v>
      </c>
      <c r="C132" t="str">
        <f>TVMaze[[#This Row],[Name]]</f>
        <v>Brixton: The Glass Cubes House</v>
      </c>
      <c r="D132" t="str">
        <f>VLOOKUP(Combined[[#This Row],[Episode number from TVMaze]],TVDB[],2,FALSE)</f>
        <v>Brixton: The Glass Cubes House</v>
      </c>
      <c r="E132" s="2" t="b">
        <f>_xlfn.IFNA(Combined[[#This Row],[Name from TVMaze]]=Combined[[#This Row],[Name from TVDB]],FALSE)</f>
        <v>1</v>
      </c>
      <c r="F132" s="2"/>
      <c r="G132" s="3">
        <f>VLOOKUP(Combined[[#This Row],[Episode number from TVMaze]],TVMazePython[],3,FALSE)</f>
        <v>41178</v>
      </c>
      <c r="H132" s="2" t="str">
        <f>VLOOKUP(Combined[[#This Row],[Episode number from TVMaze]],TVMazePython[],4,FALSE)</f>
        <v>Mary Martin and Carl Turner want to build a home that resembles a giant stack of glass cubes in Brixton, south London. The couple are hoping the structure will become an instant landmark, while on the inside they are planning a Zen retreat. But to succeed, their finances must be pushed to their limit, so Carl takes on as many of the specialist jobs as he can to save money. Kevin McCloud follows their progress.</v>
      </c>
      <c r="I132" s="2" t="str">
        <f>VLOOKUP(Combined[[#This Row],[Episode number from TVMaze]],Files[],3,FALSE)</f>
        <v>/home/ziga/share/Series/Other/0 Home and Gardening/Grand Designs/Season 12/Grand Designs - S12E03 - Brixton - The Glass Cubes House.avi</v>
      </c>
      <c r="J132" s="2" t="str">
        <f>CHAR(34)&amp;Combined[[#This Row],[Episode number from TVMaze]]&amp;CHAR(34)&amp;": "&amp;CHAR(34)&amp;Combined[[#This Row],[Path]]&amp;CHAR(34)&amp;","</f>
        <v>"S12E03": "/home/ziga/share/Series/Other/0 Home and Gardening/Grand Designs/Season 12/Grand Designs - S12E03 - Brixton - The Glass Cubes House.avi",</v>
      </c>
      <c r="K132" s="2" t="str">
        <f>IF(Combined[[#This Row],[Is name same]],Combined[[#This Row],[Episode number from TVMaze]],IF(Combined[[#This Row],[NFO created]]="No need",Combined[[#This Row],[Episode number from TVMaze]],""))</f>
        <v>S12E03</v>
      </c>
      <c r="L132" s="2" t="str">
        <f>CHAR(34)&amp;Combined[[#This Row],[Episode number from TVMaze]]&amp;CHAR(34)&amp;": "&amp;CHAR(34)&amp;Combined[[#This Row],[Correct TVDB episode number for getting image url]]&amp;CHAR(34)&amp;","</f>
        <v>"S12E03": "S12E03",</v>
      </c>
      <c r="M132" s="2" t="b">
        <f>Combined[[#This Row],[Correct TVDB episode number for getting image url]]=Combined[[#This Row],[Episode number from TVMaze]]</f>
        <v>1</v>
      </c>
      <c r="N132" s="2" t="str">
        <f>IF(Combined[[#This Row],[Have file]],IF(LEN(Combined[[#This Row],[Correct TVDB episode number for getting image url]])=0,"Find correct episode number for TheTVDB",""),"Find episode on the internet")</f>
        <v/>
      </c>
    </row>
    <row r="133" spans="1:14" x14ac:dyDescent="0.25">
      <c r="A133" t="str">
        <f>TVMaze[[#This Row],[Episode number]]</f>
        <v>S12E04</v>
      </c>
      <c r="B133" t="b">
        <f>IF(ISNUMBER(MATCH(Combined[Episode number from TVMaze],Files[Episode number],0)),TRUE,FALSE)</f>
        <v>1</v>
      </c>
      <c r="C133" t="str">
        <f>TVMaze[[#This Row],[Name]]</f>
        <v>Oxfordshire: The Thames Boathouse</v>
      </c>
      <c r="D133" t="str">
        <f>VLOOKUP(Combined[[#This Row],[Episode number from TVMaze]],TVDB[],2,FALSE)</f>
        <v>Oxfordshire: The Thames Boathouse</v>
      </c>
      <c r="E133" s="2" t="b">
        <f>_xlfn.IFNA(Combined[[#This Row],[Name from TVMaze]]=Combined[[#This Row],[Name from TVDB]],FALSE)</f>
        <v>1</v>
      </c>
      <c r="F133" s="2"/>
      <c r="G133" s="3">
        <f>VLOOKUP(Combined[[#This Row],[Episode number from TVMaze]],TVMazePython[],3,FALSE)</f>
        <v>41192</v>
      </c>
      <c r="H133" s="2" t="str">
        <f>VLOOKUP(Combined[[#This Row],[Episode number from TVMaze]],TVMazePython[],4,FALSE)</f>
        <v>Kevin McCloud follows Lysette and Nigel Offley, who are knocking down an old Thames boathouse and constructing a cutting-edge home in its place. Taking inspiration from the river itself, they have designed a building of waves and curves with a huge glass porthole for a roof light. But problems begin almost from the start, as they can't find a contractor willing to build over the water, their architect leaves unexpectedly and the costs turn out much higher than expected. To make matters worse, the neighbours aren't happy about such a radical sight in their traditional community. As they begin to compromise, Kevin wonders if the couple's dreams will ever be realised.</v>
      </c>
      <c r="I133" s="2" t="str">
        <f>VLOOKUP(Combined[[#This Row],[Episode number from TVMaze]],Files[],3,FALSE)</f>
        <v>/home/ziga/share/Series/Other/0 Home and Gardening/Grand Designs/Season 12/Grand Designs - S12E04 - Oxfordshire - The Thames Boathouse.avi</v>
      </c>
      <c r="J133" s="2" t="str">
        <f>CHAR(34)&amp;Combined[[#This Row],[Episode number from TVMaze]]&amp;CHAR(34)&amp;": "&amp;CHAR(34)&amp;Combined[[#This Row],[Path]]&amp;CHAR(34)&amp;","</f>
        <v>"S12E04": "/home/ziga/share/Series/Other/0 Home and Gardening/Grand Designs/Season 12/Grand Designs - S12E04 - Oxfordshire - The Thames Boathouse.avi",</v>
      </c>
      <c r="K133" s="2" t="str">
        <f>IF(Combined[[#This Row],[Is name same]],Combined[[#This Row],[Episode number from TVMaze]],IF(Combined[[#This Row],[NFO created]]="No need",Combined[[#This Row],[Episode number from TVMaze]],""))</f>
        <v>S12E04</v>
      </c>
      <c r="L133" s="2" t="str">
        <f>CHAR(34)&amp;Combined[[#This Row],[Episode number from TVMaze]]&amp;CHAR(34)&amp;": "&amp;CHAR(34)&amp;Combined[[#This Row],[Correct TVDB episode number for getting image url]]&amp;CHAR(34)&amp;","</f>
        <v>"S12E04": "S12E04",</v>
      </c>
      <c r="M133" s="2" t="b">
        <f>Combined[[#This Row],[Correct TVDB episode number for getting image url]]=Combined[[#This Row],[Episode number from TVMaze]]</f>
        <v>1</v>
      </c>
      <c r="N133" s="2" t="str">
        <f>IF(Combined[[#This Row],[Have file]],IF(LEN(Combined[[#This Row],[Correct TVDB episode number for getting image url]])=0,"Find correct episode number for TheTVDB",""),"Find episode on the internet")</f>
        <v/>
      </c>
    </row>
    <row r="134" spans="1:14" x14ac:dyDescent="0.25">
      <c r="A134" t="str">
        <f>TVMaze[[#This Row],[Episode number]]</f>
        <v>S12E05</v>
      </c>
      <c r="B134" t="b">
        <f>IF(ISNUMBER(MATCH(Combined[Episode number from TVMaze],Files[Episode number],0)),TRUE,FALSE)</f>
        <v>1</v>
      </c>
      <c r="C134" t="str">
        <f>TVMaze[[#This Row],[Name]]</f>
        <v>London: The Derelict Water Tower</v>
      </c>
      <c r="D134" t="str">
        <f>VLOOKUP(Combined[[#This Row],[Episode number from TVMaze]],TVDB[],2,FALSE)</f>
        <v>London: The Derelict Water Tower</v>
      </c>
      <c r="E134" s="2" t="b">
        <f>_xlfn.IFNA(Combined[[#This Row],[Name from TVMaze]]=Combined[[#This Row],[Name from TVDB]],FALSE)</f>
        <v>1</v>
      </c>
      <c r="F134" s="2"/>
      <c r="G134" s="3">
        <f>VLOOKUP(Combined[[#This Row],[Episode number from TVMaze]],TVMazePython[],3,FALSE)</f>
        <v>41199</v>
      </c>
      <c r="H134" s="2" t="str">
        <f>VLOOKUP(Combined[[#This Row],[Episode number from TVMaze]],TVMazePython[],4,FALSE)</f>
        <v>Kevin McCloud marks the 100th episode with one of the programme's most ambitious projects to date. Leigh Osborne and Graham Voce want to convert and extend a landmark 150-year-old water tower in central London into a luxury home. Grade II listed, derelict and with 6ft-thick walls, it's a huge challenge for the pair, who also plan to build two structures at the base - a lift shaft connected by a series of glass tunnels, and a modern living space. The result will be a four-bedroom property over nine floors, complete with a room at the top offering spectacular 360 degree views across the capital. The tower, which is located directly above London Underground's Northern line, was originally built for Lambeth Workhouse in 1877 and became a Grade II listed building in 2008.</v>
      </c>
      <c r="I134" s="2" t="str">
        <f>VLOOKUP(Combined[[#This Row],[Episode number from TVMaze]],Files[],3,FALSE)</f>
        <v>/home/ziga/share/Series/Other/0 Home and Gardening/Grand Designs/Season 12/Grand Designs - S12E05 - London - The Derelict Water Tower.mkv</v>
      </c>
      <c r="J134" s="2" t="str">
        <f>CHAR(34)&amp;Combined[[#This Row],[Episode number from TVMaze]]&amp;CHAR(34)&amp;": "&amp;CHAR(34)&amp;Combined[[#This Row],[Path]]&amp;CHAR(34)&amp;","</f>
        <v>"S12E05": "/home/ziga/share/Series/Other/0 Home and Gardening/Grand Designs/Season 12/Grand Designs - S12E05 - London - The Derelict Water Tower.mkv",</v>
      </c>
      <c r="K134" s="2" t="str">
        <f>IF(Combined[[#This Row],[Is name same]],Combined[[#This Row],[Episode number from TVMaze]],IF(Combined[[#This Row],[NFO created]]="No need",Combined[[#This Row],[Episode number from TVMaze]],""))</f>
        <v>S12E05</v>
      </c>
      <c r="L134" s="2" t="str">
        <f>CHAR(34)&amp;Combined[[#This Row],[Episode number from TVMaze]]&amp;CHAR(34)&amp;": "&amp;CHAR(34)&amp;Combined[[#This Row],[Correct TVDB episode number for getting image url]]&amp;CHAR(34)&amp;","</f>
        <v>"S12E05": "S12E05",</v>
      </c>
      <c r="M134" s="2" t="b">
        <f>Combined[[#This Row],[Correct TVDB episode number for getting image url]]=Combined[[#This Row],[Episode number from TVMaze]]</f>
        <v>1</v>
      </c>
      <c r="N134" s="2" t="str">
        <f>IF(Combined[[#This Row],[Have file]],IF(LEN(Combined[[#This Row],[Correct TVDB episode number for getting image url]])=0,"Find correct episode number for TheTVDB",""),"Find episode on the internet")</f>
        <v/>
      </c>
    </row>
    <row r="135" spans="1:14" x14ac:dyDescent="0.25">
      <c r="A135" t="str">
        <f>TVMaze[[#This Row],[Episode number]]</f>
        <v>S12E06</v>
      </c>
      <c r="B135" t="b">
        <f>IF(ISNUMBER(MATCH(Combined[Episode number from TVMaze],Files[Episode number],0)),TRUE,FALSE)</f>
        <v>1</v>
      </c>
      <c r="C135" t="str">
        <f>TVMaze[[#This Row],[Name]]</f>
        <v>London: The Edwardian Artist's Studio</v>
      </c>
      <c r="D135" t="str">
        <f>VLOOKUP(Combined[[#This Row],[Episode number from TVMaze]],TVDB[],2,FALSE)</f>
        <v>London: The Underground House</v>
      </c>
      <c r="E135" s="2" t="b">
        <f>_xlfn.IFNA(Combined[[#This Row],[Name from TVMaze]]=Combined[[#This Row],[Name from TVDB]],FALSE)</f>
        <v>0</v>
      </c>
      <c r="F135" s="2" t="s">
        <v>1316</v>
      </c>
      <c r="G135" s="3">
        <f>VLOOKUP(Combined[[#This Row],[Episode number from TVMaze]],TVMazePython[],3,FALSE)</f>
        <v>41206</v>
      </c>
      <c r="H135" s="2" t="str">
        <f>VLOOKUP(Combined[[#This Row],[Episode number from TVMaze]],TVMazePython[],4,FALSE)</f>
        <v>Kevin McCloud meets Audrey and Jeff, who dream of living in one of west London's most exclusive areas. However, the only way they can afford it is to go underground. Their plan is to transform a listed Edwardian artist's studio - along with 5,000 sq ft of derelict basement - into a bespoke subterranean home, complete with supersize kitchen, mezzanine sitting room, four en-suite bedrooms, a gym, cinema, steam room and wine cellar. As if the task weren't tricky enough, they are doing it without proper architect's drawings and Audrey is project managing - and the difficulties begin almost from the start.</v>
      </c>
      <c r="I135" s="2" t="str">
        <f>VLOOKUP(Combined[[#This Row],[Episode number from TVMaze]],Files[],3,FALSE)</f>
        <v>/home/ziga/share/Series/Other/0 Home and Gardening/Grand Designs/Season 12/Grand Designs - S12E06 - London - The Underground House.mkv</v>
      </c>
      <c r="J135" s="2" t="str">
        <f>CHAR(34)&amp;Combined[[#This Row],[Episode number from TVMaze]]&amp;CHAR(34)&amp;": "&amp;CHAR(34)&amp;Combined[[#This Row],[Path]]&amp;CHAR(34)&amp;","</f>
        <v>"S12E06": "/home/ziga/share/Series/Other/0 Home and Gardening/Grand Designs/Season 12/Grand Designs - S12E06 - London - The Underground House.mkv",</v>
      </c>
      <c r="K135" s="2" t="str">
        <f>IF(Combined[[#This Row],[Is name same]],Combined[[#This Row],[Episode number from TVMaze]],IF(Combined[[#This Row],[NFO created]]="No need",Combined[[#This Row],[Episode number from TVMaze]],""))</f>
        <v>S12E06</v>
      </c>
      <c r="L135" s="2" t="str">
        <f>CHAR(34)&amp;Combined[[#This Row],[Episode number from TVMaze]]&amp;CHAR(34)&amp;": "&amp;CHAR(34)&amp;Combined[[#This Row],[Correct TVDB episode number for getting image url]]&amp;CHAR(34)&amp;","</f>
        <v>"S12E06": "S12E06",</v>
      </c>
      <c r="M135" s="2" t="b">
        <f>Combined[[#This Row],[Correct TVDB episode number for getting image url]]=Combined[[#This Row],[Episode number from TVMaze]]</f>
        <v>1</v>
      </c>
      <c r="N135" s="2" t="str">
        <f>IF(Combined[[#This Row],[Have file]],IF(LEN(Combined[[#This Row],[Correct TVDB episode number for getting image url]])=0,"Find correct episode number for TheTVDB",""),"Find episode on the internet")</f>
        <v/>
      </c>
    </row>
    <row r="136" spans="1:14" x14ac:dyDescent="0.25">
      <c r="A136" t="str">
        <f>TVMaze[[#This Row],[Episode number]]</f>
        <v>S12E07</v>
      </c>
      <c r="B136" t="b">
        <f>IF(ISNUMBER(MATCH(Combined[Episode number from TVMaze],Files[Episode number],0)),TRUE,FALSE)</f>
        <v>1</v>
      </c>
      <c r="C136" t="str">
        <f>TVMaze[[#This Row],[Name]]</f>
        <v>Isle of Skye: The Larch-Clad House</v>
      </c>
      <c r="D136" t="str">
        <f>VLOOKUP(Combined[[#This Row],[Episode number from TVMaze]],TVDB[],2,FALSE)</f>
        <v>Isle of Skye: The Larch-Clad House</v>
      </c>
      <c r="E136" s="2" t="b">
        <f>_xlfn.IFNA(Combined[[#This Row],[Name from TVMaze]]=Combined[[#This Row],[Name from TVDB]],FALSE)</f>
        <v>1</v>
      </c>
      <c r="F136" s="2"/>
      <c r="G136" s="3">
        <f>VLOOKUP(Combined[[#This Row],[Episode number from TVMaze]],TVMazePython[],3,FALSE)</f>
        <v>41213</v>
      </c>
      <c r="H136" s="2" t="str">
        <f>VLOOKUP(Combined[[#This Row],[Episode number from TVMaze]],TVMazePython[],4,FALSE)</f>
        <v>Kevin McCloud meets artists Indi and Rebecca, who are planning to build a modern, larch-clad home on the Isle of Skye, with a second hand-crafted building alongside to use as their studio, all on a tight budget of £150,000. They have been saving for years, but making it happen will mean taking on the savage weather, not to mention the sceptical locals - and as if that weren't enough, most of the work is being done by one man, local builder Donald.</v>
      </c>
      <c r="I136" s="2" t="str">
        <f>VLOOKUP(Combined[[#This Row],[Episode number from TVMaze]],Files[],3,FALSE)</f>
        <v>/home/ziga/share/Series/Other/0 Home and Gardening/Grand Designs/Season 12/Grand Designs - S12E07 - Isle of Skye - The Larch-Clad House.avi</v>
      </c>
      <c r="J136" s="2" t="str">
        <f>CHAR(34)&amp;Combined[[#This Row],[Episode number from TVMaze]]&amp;CHAR(34)&amp;": "&amp;CHAR(34)&amp;Combined[[#This Row],[Path]]&amp;CHAR(34)&amp;","</f>
        <v>"S12E07": "/home/ziga/share/Series/Other/0 Home and Gardening/Grand Designs/Season 12/Grand Designs - S12E07 - Isle of Skye - The Larch-Clad House.avi",</v>
      </c>
      <c r="K136" s="2" t="str">
        <f>IF(Combined[[#This Row],[Is name same]],Combined[[#This Row],[Episode number from TVMaze]],IF(Combined[[#This Row],[NFO created]]="No need",Combined[[#This Row],[Episode number from TVMaze]],""))</f>
        <v>S12E07</v>
      </c>
      <c r="L136" s="2" t="str">
        <f>CHAR(34)&amp;Combined[[#This Row],[Episode number from TVMaze]]&amp;CHAR(34)&amp;": "&amp;CHAR(34)&amp;Combined[[#This Row],[Correct TVDB episode number for getting image url]]&amp;CHAR(34)&amp;","</f>
        <v>"S12E07": "S12E07",</v>
      </c>
      <c r="M136" s="2" t="b">
        <f>Combined[[#This Row],[Correct TVDB episode number for getting image url]]=Combined[[#This Row],[Episode number from TVMaze]]</f>
        <v>1</v>
      </c>
      <c r="N136" s="2" t="str">
        <f>IF(Combined[[#This Row],[Have file]],IF(LEN(Combined[[#This Row],[Correct TVDB episode number for getting image url]])=0,"Find correct episode number for TheTVDB",""),"Find episode on the internet")</f>
        <v/>
      </c>
    </row>
    <row r="137" spans="1:14" x14ac:dyDescent="0.25">
      <c r="A137" t="str">
        <f>TVMaze[[#This Row],[Episode number]]</f>
        <v>S12E08</v>
      </c>
      <c r="B137" t="b">
        <f>IF(ISNUMBER(MATCH(Combined[Episode number from TVMaze],Files[Episode number],0)),TRUE,FALSE)</f>
        <v>1</v>
      </c>
      <c r="C137" t="str">
        <f>TVMaze[[#This Row],[Name]]</f>
        <v>London: The Joinery Workshop</v>
      </c>
      <c r="D137" t="str">
        <f>VLOOKUP(Combined[[#This Row],[Episode number from TVMaze]],TVDB[],2,FALSE)</f>
        <v>London: The Joinery Workshop</v>
      </c>
      <c r="E137" s="2" t="b">
        <f>_xlfn.IFNA(Combined[[#This Row],[Name from TVMaze]]=Combined[[#This Row],[Name from TVDB]],FALSE)</f>
        <v>1</v>
      </c>
      <c r="F137" s="2"/>
      <c r="G137" s="3">
        <f>VLOOKUP(Combined[[#This Row],[Episode number from TVMaze]],TVMazePython[],3,FALSE)</f>
        <v>41220</v>
      </c>
      <c r="H137" s="2" t="str">
        <f>VLOOKUP(Combined[[#This Row],[Episode number from TVMaze]],TVMazePython[],4,FALSE)</f>
        <v>Architect Henning Stummel and his partner Alice Dawson plan to convert a dilapidated joinery workshop in north London into a contemporary family home and office. They want to preserve the building's original steel frame, but to restore it they will have to take it down, which means carefully extracting it from the neighbours' walls without causing damage to their property - and that's just the start of the couple's problems. Kevin McCloud follows their progress.</v>
      </c>
      <c r="I137" s="2" t="str">
        <f>VLOOKUP(Combined[[#This Row],[Episode number from TVMaze]],Files[],3,FALSE)</f>
        <v>/home/ziga/share/Series/Other/0 Home and Gardening/Grand Designs/Season 12/Grand Designs - S12E08 - London - The Joinery Workshop.avi</v>
      </c>
      <c r="J137" s="2" t="str">
        <f>CHAR(34)&amp;Combined[[#This Row],[Episode number from TVMaze]]&amp;CHAR(34)&amp;": "&amp;CHAR(34)&amp;Combined[[#This Row],[Path]]&amp;CHAR(34)&amp;","</f>
        <v>"S12E08": "/home/ziga/share/Series/Other/0 Home and Gardening/Grand Designs/Season 12/Grand Designs - S12E08 - London - The Joinery Workshop.avi",</v>
      </c>
      <c r="K137" s="2" t="str">
        <f>IF(Combined[[#This Row],[Is name same]],Combined[[#This Row],[Episode number from TVMaze]],IF(Combined[[#This Row],[NFO created]]="No need",Combined[[#This Row],[Episode number from TVMaze]],""))</f>
        <v>S12E08</v>
      </c>
      <c r="L137" s="2" t="str">
        <f>CHAR(34)&amp;Combined[[#This Row],[Episode number from TVMaze]]&amp;CHAR(34)&amp;": "&amp;CHAR(34)&amp;Combined[[#This Row],[Correct TVDB episode number for getting image url]]&amp;CHAR(34)&amp;","</f>
        <v>"S12E08": "S12E08",</v>
      </c>
      <c r="M137" s="2" t="b">
        <f>Combined[[#This Row],[Correct TVDB episode number for getting image url]]=Combined[[#This Row],[Episode number from TVMaze]]</f>
        <v>1</v>
      </c>
      <c r="N137" s="2" t="str">
        <f>IF(Combined[[#This Row],[Have file]],IF(LEN(Combined[[#This Row],[Correct TVDB episode number for getting image url]])=0,"Find correct episode number for TheTVDB",""),"Find episode on the internet")</f>
        <v/>
      </c>
    </row>
    <row r="138" spans="1:14" x14ac:dyDescent="0.25">
      <c r="A138" t="str">
        <f>TVMaze[[#This Row],[Episode number]]</f>
        <v>S12E09</v>
      </c>
      <c r="B138" t="b">
        <f>IF(ISNUMBER(MATCH(Combined[Episode number from TVMaze],Files[Episode number],0)),TRUE,FALSE)</f>
        <v>1</v>
      </c>
      <c r="C138" t="str">
        <f>TVMaze[[#This Row],[Name]]</f>
        <v>Revisited - Isle of Wight: The Tree House (Revisited from S10 Ep1)</v>
      </c>
      <c r="D138" t="e">
        <f>VLOOKUP(Combined[[#This Row],[Episode number from TVMaze]],TVDB[],2,FALSE)</f>
        <v>#N/A</v>
      </c>
      <c r="E138" s="2" t="b">
        <f>_xlfn.IFNA(Combined[[#This Row],[Name from TVMaze]]=Combined[[#This Row],[Name from TVDB]],FALSE)</f>
        <v>0</v>
      </c>
      <c r="F138" s="2"/>
      <c r="G138" s="3">
        <f>VLOOKUP(Combined[[#This Row],[Episode number from TVMaze]],TVMazePython[],3,FALSE)</f>
        <v>41227</v>
      </c>
      <c r="H138" s="2" t="str">
        <f>VLOOKUP(Combined[[#This Row],[Episode number from TVMaze]],TVMazePython[],4,FALSE)</f>
        <v>Two years ago, architectural designer Lincoln Miles and his wife, artist Lisa Traxler, found an uninspiring 1970s bungalow on a plot on the Isle of Wight surrounded by ancient woodland. As part of their renovation project, they added a three-storey "tower" extension and used a range of unconventional techniques and alternative materials. Kevin McCloud returns to find out whether the couple's methods led to success.</v>
      </c>
      <c r="I138" s="2" t="str">
        <f>VLOOKUP(Combined[[#This Row],[Episode number from TVMaze]],Files[],3,FALSE)</f>
        <v>/home/ziga/share/Series/Other/0 Home and Gardening/Grand Designs/Season 12/Grand Designs - S12E09 - Revisited - Isle of Wight - The Tree House.avi</v>
      </c>
      <c r="J138" s="2" t="str">
        <f>CHAR(34)&amp;Combined[[#This Row],[Episode number from TVMaze]]&amp;CHAR(34)&amp;": "&amp;CHAR(34)&amp;Combined[[#This Row],[Path]]&amp;CHAR(34)&amp;","</f>
        <v>"S12E09": "/home/ziga/share/Series/Other/0 Home and Gardening/Grand Designs/Season 12/Grand Designs - S12E09 - Revisited - Isle of Wight - The Tree House.avi",</v>
      </c>
      <c r="K138" s="2" t="s">
        <v>934</v>
      </c>
      <c r="L138" s="2" t="str">
        <f>CHAR(34)&amp;Combined[[#This Row],[Episode number from TVMaze]]&amp;CHAR(34)&amp;": "&amp;CHAR(34)&amp;Combined[[#This Row],[Correct TVDB episode number for getting image url]]&amp;CHAR(34)&amp;","</f>
        <v>"S12E09": "S10E11",</v>
      </c>
      <c r="M138" s="2" t="b">
        <f>Combined[[#This Row],[Correct TVDB episode number for getting image url]]=Combined[[#This Row],[Episode number from TVMaze]]</f>
        <v>0</v>
      </c>
      <c r="N138" s="2" t="str">
        <f>IF(Combined[[#This Row],[Have file]],IF(LEN(Combined[[#This Row],[Correct TVDB episode number for getting image url]])=0,"Find correct episode number for TheTVDB",""),"Find episode on the internet")</f>
        <v/>
      </c>
    </row>
    <row r="139" spans="1:14" x14ac:dyDescent="0.25">
      <c r="A139" t="str">
        <f>TVMaze[[#This Row],[Episode number]]</f>
        <v>S12E10</v>
      </c>
      <c r="B139" t="b">
        <f>IF(ISNUMBER(MATCH(Combined[Episode number from TVMaze],Files[Episode number],0)),TRUE,FALSE)</f>
        <v>1</v>
      </c>
      <c r="C139" t="str">
        <f>TVMaze[[#This Row],[Name]]</f>
        <v>Revisited - London: The Disco Home (Revisited from S11 Ep7)</v>
      </c>
      <c r="D139" t="e">
        <f>VLOOKUP(Combined[[#This Row],[Episode number from TVMaze]],TVDB[],2,FALSE)</f>
        <v>#N/A</v>
      </c>
      <c r="E139" s="2" t="b">
        <f>_xlfn.IFNA(Combined[[#This Row],[Name from TVMaze]]=Combined[[#This Row],[Name from TVDB]],FALSE)</f>
        <v>0</v>
      </c>
      <c r="F139" s="2"/>
      <c r="G139" s="3">
        <f>VLOOKUP(Combined[[#This Row],[Episode number from TVMaze]],TVMazePython[],3,FALSE)</f>
        <v>41234</v>
      </c>
      <c r="H139" s="2" t="str">
        <f>VLOOKUP(Combined[[#This Row],[Episode number from TVMaze]],TVMazePython[],4,FALSE)</f>
        <v>In 2010, Claire Farrow and Ian Hogarth built a home containing a sauna, spa, dance floor and DJ booth on a small patch of land in London. It was a notorious project, with several setbacks - including their digger smashing into a neighbour's wall and the re-emergence of the old river under the building, which threatened to prevent them completing the project. Kevin McCloud revisits the couple to see how they are getting on two years later.</v>
      </c>
      <c r="I139" s="2" t="str">
        <f>VLOOKUP(Combined[[#This Row],[Episode number from TVMaze]],Files[],3,FALSE)</f>
        <v>/home/ziga/share/Series/Other/0 Home and Gardening/Grand Designs/Season 12/Grand Designs - S12E10 - Revisited - London - The Disco Home.avi</v>
      </c>
      <c r="J139" s="2" t="str">
        <f>CHAR(34)&amp;Combined[[#This Row],[Episode number from TVMaze]]&amp;CHAR(34)&amp;": "&amp;CHAR(34)&amp;Combined[[#This Row],[Path]]&amp;CHAR(34)&amp;","</f>
        <v>"S12E10": "/home/ziga/share/Series/Other/0 Home and Gardening/Grand Designs/Season 12/Grand Designs - S12E10 - Revisited - London - The Disco Home.avi",</v>
      </c>
      <c r="K139" s="2" t="s">
        <v>943</v>
      </c>
      <c r="L139" s="2" t="str">
        <f>CHAR(34)&amp;Combined[[#This Row],[Episode number from TVMaze]]&amp;CHAR(34)&amp;": "&amp;CHAR(34)&amp;Combined[[#This Row],[Correct TVDB episode number for getting image url]]&amp;CHAR(34)&amp;","</f>
        <v>"S12E10": "S11E08",</v>
      </c>
      <c r="M139" s="2" t="b">
        <f>Combined[[#This Row],[Correct TVDB episode number for getting image url]]=Combined[[#This Row],[Episode number from TVMaze]]</f>
        <v>0</v>
      </c>
      <c r="N139" s="2" t="str">
        <f>IF(Combined[[#This Row],[Have file]],IF(LEN(Combined[[#This Row],[Correct TVDB episode number for getting image url]])=0,"Find correct episode number for TheTVDB",""),"Find episode on the internet")</f>
        <v/>
      </c>
    </row>
    <row r="140" spans="1:14" x14ac:dyDescent="0.25">
      <c r="A140" t="str">
        <f>TVMaze[[#This Row],[Episode number]]</f>
        <v>S12E11</v>
      </c>
      <c r="B140" t="b">
        <f>IF(ISNUMBER(MATCH(Combined[Episode number from TVMaze],Files[Episode number],0)),TRUE,FALSE)</f>
        <v>1</v>
      </c>
      <c r="C140" t="str">
        <f>TVMaze[[#This Row],[Name]]</f>
        <v>Revisited - Essex: The Large Timber-Framed Barn (Revisited from S11 Ep4)</v>
      </c>
      <c r="D140" t="e">
        <f>VLOOKUP(Combined[[#This Row],[Episode number from TVMaze]],TVDB[],2,FALSE)</f>
        <v>#N/A</v>
      </c>
      <c r="E140" s="2" t="b">
        <f>_xlfn.IFNA(Combined[[#This Row],[Name from TVMaze]]=Combined[[#This Row],[Name from TVDB]],FALSE)</f>
        <v>0</v>
      </c>
      <c r="F140" s="2"/>
      <c r="G140" s="3">
        <f>VLOOKUP(Combined[[#This Row],[Episode number from TVMaze]],TVMazePython[],3,FALSE)</f>
        <v>41241</v>
      </c>
      <c r="H140" s="2" t="str">
        <f>VLOOKUP(Combined[[#This Row],[Episode number from TVMaze]],TVMazePython[],4,FALSE)</f>
        <v>Kevin revisits artists Freddie Robbins and Ben Coode-Adams who converted a large, Grade II-listed timber-framed barn in Essex into a family home and work-space. Their plans involve few interior walls to display their collection of toys, but at seven times the size of an average three-bedroom house, the transformation of the 500-year-old building proves extremely challenging.</v>
      </c>
      <c r="I140" s="2" t="str">
        <f>VLOOKUP(Combined[[#This Row],[Episode number from TVMaze]],Files[],3,FALSE)</f>
        <v>/home/ziga/share/Series/Other/0 Home and Gardening/Grand Designs/Season 12/Grand Designs - S12E11 - Revisited - Essex - The Large Timber-Framed Barn.avi</v>
      </c>
      <c r="J140" s="2" t="str">
        <f>CHAR(34)&amp;Combined[[#This Row],[Episode number from TVMaze]]&amp;CHAR(34)&amp;": "&amp;CHAR(34)&amp;Combined[[#This Row],[Path]]&amp;CHAR(34)&amp;","</f>
        <v>"S12E11": "/home/ziga/share/Series/Other/0 Home and Gardening/Grand Designs/Season 12/Grand Designs - S12E11 - Revisited - Essex - The Large Timber-Framed Barn.avi",</v>
      </c>
      <c r="K140" s="2" t="s">
        <v>944</v>
      </c>
      <c r="L140" s="2" t="str">
        <f>CHAR(34)&amp;Combined[[#This Row],[Episode number from TVMaze]]&amp;CHAR(34)&amp;": "&amp;CHAR(34)&amp;Combined[[#This Row],[Correct TVDB episode number for getting image url]]&amp;CHAR(34)&amp;","</f>
        <v>"S12E11": "S11E09",</v>
      </c>
      <c r="M140" s="2" t="b">
        <f>Combined[[#This Row],[Correct TVDB episode number for getting image url]]=Combined[[#This Row],[Episode number from TVMaze]]</f>
        <v>0</v>
      </c>
      <c r="N140" s="2" t="str">
        <f>IF(Combined[[#This Row],[Have file]],IF(LEN(Combined[[#This Row],[Correct TVDB episode number for getting image url]])=0,"Find correct episode number for TheTVDB",""),"Find episode on the internet")</f>
        <v/>
      </c>
    </row>
    <row r="141" spans="1:14" x14ac:dyDescent="0.25">
      <c r="A141" t="str">
        <f>TVMaze[[#This Row],[Episode number]]</f>
        <v>S12E12</v>
      </c>
      <c r="B141" t="b">
        <f>IF(ISNUMBER(MATCH(Combined[Episode number from TVMaze],Files[Episode number],0)),TRUE,FALSE)</f>
        <v>1</v>
      </c>
      <c r="C141" t="str">
        <f>TVMaze[[#This Row],[Name]]</f>
        <v>2nd Revisiting - Brighton: The Co-Op (Revisited from S1 Ep3 &amp; S2 Ep13</v>
      </c>
      <c r="D141" t="e">
        <f>VLOOKUP(Combined[[#This Row],[Episode number from TVMaze]],TVDB[],2,FALSE)</f>
        <v>#N/A</v>
      </c>
      <c r="E141" s="2" t="b">
        <f>_xlfn.IFNA(Combined[[#This Row],[Name from TVMaze]]=Combined[[#This Row],[Name from TVDB]],FALSE)</f>
        <v>0</v>
      </c>
      <c r="F141" s="2"/>
      <c r="G141" s="3">
        <f>VLOOKUP(Combined[[#This Row],[Episode number from TVMaze]],TVMazePython[],3,FALSE)</f>
        <v>41248</v>
      </c>
      <c r="H141" s="2" t="str">
        <f>VLOOKUP(Combined[[#This Row],[Episode number from TVMaze]],TVMazePython[],4,FALSE)</f>
        <v>Kevin revisits the co-op. Started in 1998, this development of ten timber frame houses is based on the Walter Segal method of construction and was led by Jenny and Paul Crouch. They incorporate high levels of Warmcell insulation and benefit from south-facing solar gain. The roofs are of sedum. Episode Revisited on 13 March 2001.</v>
      </c>
      <c r="I141" s="2" t="str">
        <f>VLOOKUP(Combined[[#This Row],[Episode number from TVMaze]],Files[],3,FALSE)</f>
        <v>/home/ziga/share/Series/Other/0 Home and Gardening/Grand Designs/Season 12/Grand Designs - S12E12 - 2nd Revisiting - Brighton - The Co-Op.avi</v>
      </c>
      <c r="J141" s="2" t="str">
        <f>CHAR(34)&amp;Combined[[#This Row],[Episode number from TVMaze]]&amp;CHAR(34)&amp;": "&amp;CHAR(34)&amp;Combined[[#This Row],[Path]]&amp;CHAR(34)&amp;","</f>
        <v>"S12E12": "/home/ziga/share/Series/Other/0 Home and Gardening/Grand Designs/Season 12/Grand Designs - S12E12 - 2nd Revisiting - Brighton - The Co-Op.avi",</v>
      </c>
      <c r="K141" s="2" t="s">
        <v>836</v>
      </c>
      <c r="L141" s="2" t="str">
        <f>CHAR(34)&amp;Combined[[#This Row],[Episode number from TVMaze]]&amp;CHAR(34)&amp;": "&amp;CHAR(34)&amp;Combined[[#This Row],[Correct TVDB episode number for getting image url]]&amp;CHAR(34)&amp;","</f>
        <v>"S12E12": "S01E17",</v>
      </c>
      <c r="M141" s="2" t="b">
        <f>Combined[[#This Row],[Correct TVDB episode number for getting image url]]=Combined[[#This Row],[Episode number from TVMaze]]</f>
        <v>0</v>
      </c>
      <c r="N141" s="2" t="str">
        <f>IF(Combined[[#This Row],[Have file]],IF(LEN(Combined[[#This Row],[Correct TVDB episode number for getting image url]])=0,"Find correct episode number for TheTVDB",""),"Find episode on the internet")</f>
        <v/>
      </c>
    </row>
    <row r="142" spans="1:14" x14ac:dyDescent="0.25">
      <c r="A142" t="str">
        <f>TVMaze[[#This Row],[Episode number]]</f>
        <v>S13E01</v>
      </c>
      <c r="B142" t="b">
        <f>IF(ISNUMBER(MATCH(Combined[Episode number from TVMaze],Files[Episode number],0)),TRUE,FALSE)</f>
        <v>1</v>
      </c>
      <c r="C142" t="str">
        <f>TVMaze[[#This Row],[Name]]</f>
        <v>South Yorkshire: The 1920's Cinema</v>
      </c>
      <c r="D142" t="str">
        <f>VLOOKUP(Combined[[#This Row],[Episode number from TVMaze]],TVDB[],2,FALSE)</f>
        <v>South Yorkshire: The 1920's Cinema</v>
      </c>
      <c r="E142" s="2" t="b">
        <f>_xlfn.IFNA(Combined[[#This Row],[Name from TVMaze]]=Combined[[#This Row],[Name from TVDB]],FALSE)</f>
        <v>1</v>
      </c>
      <c r="F142" s="2"/>
      <c r="G142" s="3">
        <f>VLOOKUP(Combined[[#This Row],[Episode number from TVMaze]],TVMazePython[],3,FALSE)</f>
        <v>41521</v>
      </c>
      <c r="H142" s="2" t="str">
        <f>VLOOKUP(Combined[[#This Row],[Episode number from TVMaze]],TVMazePython[],4,FALSE)</f>
        <v>Kevin McCloud follows a project to renovate and extend a classic 1920s cinema in Thorne, South Yorkshire. With little knowledge of restoration, Gwyn and Kate boldly set about turning the dilapidated building into a family home using masses of concrete after taking advice from an architect friend. The couple are hoping to create a hydraulic glass wall that opens up one side of the house to form a UV-filtered canopy, and there are also plans for a white roof extension that resembles a diving board.</v>
      </c>
      <c r="I142" s="2" t="str">
        <f>VLOOKUP(Combined[[#This Row],[Episode number from TVMaze]],Files[],3,FALSE)</f>
        <v>/home/ziga/share/Series/Other/0 Home and Gardening/Grand Designs/Season 13/Grand Designs - S13E01 - South Yorkshire - The 1920's Cinema.mkv</v>
      </c>
      <c r="J142" s="2" t="str">
        <f>CHAR(34)&amp;Combined[[#This Row],[Episode number from TVMaze]]&amp;CHAR(34)&amp;": "&amp;CHAR(34)&amp;Combined[[#This Row],[Path]]&amp;CHAR(34)&amp;","</f>
        <v>"S13E01": "/home/ziga/share/Series/Other/0 Home and Gardening/Grand Designs/Season 13/Grand Designs - S13E01 - South Yorkshire - The 1920's Cinema.mkv",</v>
      </c>
      <c r="K142" s="2" t="str">
        <f>IF(Combined[[#This Row],[Is name same]],Combined[[#This Row],[Episode number from TVMaze]],IF(Combined[[#This Row],[NFO created]]="No need",Combined[[#This Row],[Episode number from TVMaze]],""))</f>
        <v>S13E01</v>
      </c>
      <c r="L142" s="2" t="str">
        <f>CHAR(34)&amp;Combined[[#This Row],[Episode number from TVMaze]]&amp;CHAR(34)&amp;": "&amp;CHAR(34)&amp;Combined[[#This Row],[Correct TVDB episode number for getting image url]]&amp;CHAR(34)&amp;","</f>
        <v>"S13E01": "S13E01",</v>
      </c>
      <c r="M142" s="2" t="b">
        <f>Combined[[#This Row],[Correct TVDB episode number for getting image url]]=Combined[[#This Row],[Episode number from TVMaze]]</f>
        <v>1</v>
      </c>
      <c r="N142" s="2" t="str">
        <f>IF(Combined[[#This Row],[Have file]],IF(LEN(Combined[[#This Row],[Correct TVDB episode number for getting image url]])=0,"Find correct episode number for TheTVDB",""),"Find episode on the internet")</f>
        <v/>
      </c>
    </row>
    <row r="143" spans="1:14" x14ac:dyDescent="0.25">
      <c r="A143" t="str">
        <f>TVMaze[[#This Row],[Episode number]]</f>
        <v>S13E02</v>
      </c>
      <c r="B143" t="b">
        <f>IF(ISNUMBER(MATCH(Combined[Episode number from TVMaze],Files[Episode number],0)),TRUE,FALSE)</f>
        <v>1</v>
      </c>
      <c r="C143" t="str">
        <f>TVMaze[[#This Row],[Name]]</f>
        <v>North London: The Miniature Hollywood Mansion</v>
      </c>
      <c r="D143" t="str">
        <f>VLOOKUP(Combined[[#This Row],[Episode number from TVMaze]],TVDB[],2,FALSE)</f>
        <v>North London: The Miniature Hollywood Mansion</v>
      </c>
      <c r="E143" s="2" t="b">
        <f>_xlfn.IFNA(Combined[[#This Row],[Name from TVMaze]]=Combined[[#This Row],[Name from TVDB]],FALSE)</f>
        <v>1</v>
      </c>
      <c r="F143" s="2"/>
      <c r="G143" s="3">
        <f>VLOOKUP(Combined[[#This Row],[Episode number from TVMaze]],TVMazePython[],3,FALSE)</f>
        <v>41528</v>
      </c>
      <c r="H143" s="2" t="str">
        <f>VLOOKUP(Combined[[#This Row],[Episode number from TVMaze]],TVMazePython[],4,FALSE)</f>
        <v>Jonathan Broom, one of the founders of Ecoigo, and his wife Deborah have put everything on hold while he pursues his dream of building a miniature Hollywood Hills-style mansion. They stumble across a scrap of land in north London, but it's fraught with problems and the only way they can complete the £1million home is by sinking half of it six metres below ground. Surrounded on all sides by their neighbours' back gardens, the couple have to dismantle walls and fences and promise to put them back together again, and that's just the start of their difficulties. Kevin McCloud follows their progress.</v>
      </c>
      <c r="I143" s="2" t="str">
        <f>VLOOKUP(Combined[[#This Row],[Episode number from TVMaze]],Files[],3,FALSE)</f>
        <v>/home/ziga/share/Series/Other/0 Home and Gardening/Grand Designs/Season 13/Grand Designs - S13E02 - North London - The Miniature Hollywood Mansion.mkv</v>
      </c>
      <c r="J143" s="2" t="str">
        <f>CHAR(34)&amp;Combined[[#This Row],[Episode number from TVMaze]]&amp;CHAR(34)&amp;": "&amp;CHAR(34)&amp;Combined[[#This Row],[Path]]&amp;CHAR(34)&amp;","</f>
        <v>"S13E02": "/home/ziga/share/Series/Other/0 Home and Gardening/Grand Designs/Season 13/Grand Designs - S13E02 - North London - The Miniature Hollywood Mansion.mkv",</v>
      </c>
      <c r="K143" s="2" t="str">
        <f>IF(Combined[[#This Row],[Is name same]],Combined[[#This Row],[Episode number from TVMaze]],IF(Combined[[#This Row],[NFO created]]="No need",Combined[[#This Row],[Episode number from TVMaze]],""))</f>
        <v>S13E02</v>
      </c>
      <c r="L143" s="2" t="str">
        <f>CHAR(34)&amp;Combined[[#This Row],[Episode number from TVMaze]]&amp;CHAR(34)&amp;": "&amp;CHAR(34)&amp;Combined[[#This Row],[Correct TVDB episode number for getting image url]]&amp;CHAR(34)&amp;","</f>
        <v>"S13E02": "S13E02",</v>
      </c>
      <c r="M143" s="2" t="b">
        <f>Combined[[#This Row],[Correct TVDB episode number for getting image url]]=Combined[[#This Row],[Episode number from TVMaze]]</f>
        <v>1</v>
      </c>
      <c r="N143" s="2" t="str">
        <f>IF(Combined[[#This Row],[Have file]],IF(LEN(Combined[[#This Row],[Correct TVDB episode number for getting image url]])=0,"Find correct episode number for TheTVDB",""),"Find episode on the internet")</f>
        <v/>
      </c>
    </row>
    <row r="144" spans="1:14" x14ac:dyDescent="0.25">
      <c r="A144" t="str">
        <f>TVMaze[[#This Row],[Episode number]]</f>
        <v>S13E03</v>
      </c>
      <c r="B144" t="b">
        <f>IF(ISNUMBER(MATCH(Combined[Episode number from TVMaze],Files[Episode number],0)),TRUE,FALSE)</f>
        <v>1</v>
      </c>
      <c r="C144" t="str">
        <f>TVMaze[[#This Row],[Name]]</f>
        <v>York: The Giant Farm Shed</v>
      </c>
      <c r="D144" t="str">
        <f>VLOOKUP(Combined[[#This Row],[Episode number from TVMaze]],TVDB[],2,FALSE)</f>
        <v>York: The Giant Farm Shed</v>
      </c>
      <c r="E144" s="2" t="b">
        <f>_xlfn.IFNA(Combined[[#This Row],[Name from TVMaze]]=Combined[[#This Row],[Name from TVDB]],FALSE)</f>
        <v>1</v>
      </c>
      <c r="F144" s="2"/>
      <c r="G144" s="3">
        <f>VLOOKUP(Combined[[#This Row],[Episode number from TVMaze]],TVMazePython[],3,FALSE)</f>
        <v>41535</v>
      </c>
      <c r="H144" s="2" t="str">
        <f>VLOOKUP(Combined[[#This Row],[Episode number from TVMaze]],TVMazePython[],4,FALSE)</f>
        <v>Commercial architect Martin Walker and his art-director wife Kae want to build the ultimate family home near York, inspired by a giant farm shed. However, her idea for a warm and cosy design conflicts dramatically with his penchant for building large square warehouses, and finding something they both agree on proves extremely challenging on their tight budget. Kevin McCloud follows the couple's progress.</v>
      </c>
      <c r="I144" s="2" t="str">
        <f>VLOOKUP(Combined[[#This Row],[Episode number from TVMaze]],Files[],3,FALSE)</f>
        <v>/home/ziga/share/Series/Other/0 Home and Gardening/Grand Designs/Season 13/Grand Designs - S13E03 - York - The Giant Farm Shed.mkv</v>
      </c>
      <c r="J144" s="2" t="str">
        <f>CHAR(34)&amp;Combined[[#This Row],[Episode number from TVMaze]]&amp;CHAR(34)&amp;": "&amp;CHAR(34)&amp;Combined[[#This Row],[Path]]&amp;CHAR(34)&amp;","</f>
        <v>"S13E03": "/home/ziga/share/Series/Other/0 Home and Gardening/Grand Designs/Season 13/Grand Designs - S13E03 - York - The Giant Farm Shed.mkv",</v>
      </c>
      <c r="K144" s="2" t="str">
        <f>IF(Combined[[#This Row],[Is name same]],Combined[[#This Row],[Episode number from TVMaze]],IF(Combined[[#This Row],[NFO created]]="No need",Combined[[#This Row],[Episode number from TVMaze]],""))</f>
        <v>S13E03</v>
      </c>
      <c r="L144" s="2" t="str">
        <f>CHAR(34)&amp;Combined[[#This Row],[Episode number from TVMaze]]&amp;CHAR(34)&amp;": "&amp;CHAR(34)&amp;Combined[[#This Row],[Correct TVDB episode number for getting image url]]&amp;CHAR(34)&amp;","</f>
        <v>"S13E03": "S13E03",</v>
      </c>
      <c r="M144" s="2" t="b">
        <f>Combined[[#This Row],[Correct TVDB episode number for getting image url]]=Combined[[#This Row],[Episode number from TVMaze]]</f>
        <v>1</v>
      </c>
      <c r="N144" s="2" t="str">
        <f>IF(Combined[[#This Row],[Have file]],IF(LEN(Combined[[#This Row],[Correct TVDB episode number for getting image url]])=0,"Find correct episode number for TheTVDB",""),"Find episode on the internet")</f>
        <v/>
      </c>
    </row>
    <row r="145" spans="1:14" x14ac:dyDescent="0.25">
      <c r="A145" t="str">
        <f>TVMaze[[#This Row],[Episode number]]</f>
        <v>S13E04</v>
      </c>
      <c r="B145" t="b">
        <f>IF(ISNUMBER(MATCH(Combined[Episode number from TVMaze],Files[Episode number],0)),TRUE,FALSE)</f>
        <v>1</v>
      </c>
      <c r="C145" t="str">
        <f>TVMaze[[#This Row],[Name]]</f>
        <v>Tiverton: The Crooked Chocolate Box Cottage</v>
      </c>
      <c r="D145" t="str">
        <f>VLOOKUP(Combined[[#This Row],[Episode number from TVMaze]],TVDB[],2,FALSE)</f>
        <v>Tiverton: Crooked Chocolate Box Cottage</v>
      </c>
      <c r="E145" s="2" t="b">
        <f>_xlfn.IFNA(Combined[[#This Row],[Name from TVMaze]]=Combined[[#This Row],[Name from TVDB]],FALSE)</f>
        <v>0</v>
      </c>
      <c r="F145" s="2" t="s">
        <v>1316</v>
      </c>
      <c r="G145" s="3">
        <f>VLOOKUP(Combined[[#This Row],[Episode number from TVMaze]],TVMazePython[],3,FALSE)</f>
        <v>41542</v>
      </c>
      <c r="H145" s="2" t="str">
        <f>VLOOKUP(Combined[[#This Row],[Episode number from TVMaze]],TVMazePython[],4,FALSE)</f>
        <v>Marine captain Jon's life changed for ever when he stepped onto a land mine in Afghanistan and lost three limbs. After viewing many uninspired specialist homes and considering awkward conversions, he and partner Becky realised their best option was to build a property themselves. The design is cutting-edge, with sleek glass walls, open-plan spaces and a dramatic wing-like roof, and the couple want there to be no noticeable adaptations. However, they soon use up their budget of £250,000 and encounter problems with their incredibly tight schedule. Kevin McCloud follows their progress.</v>
      </c>
      <c r="I145" s="2" t="str">
        <f>VLOOKUP(Combined[[#This Row],[Episode number from TVMaze]],Files[],3,FALSE)</f>
        <v>/home/ziga/share/Series/Other/0 Home and Gardening/Grand Designs/Season 13/Grand Designs - S13E04 - Tiverton - Crooked Chocolate Box Cottage.mkv</v>
      </c>
      <c r="J145" s="2" t="str">
        <f>CHAR(34)&amp;Combined[[#This Row],[Episode number from TVMaze]]&amp;CHAR(34)&amp;": "&amp;CHAR(34)&amp;Combined[[#This Row],[Path]]&amp;CHAR(34)&amp;","</f>
        <v>"S13E04": "/home/ziga/share/Series/Other/0 Home and Gardening/Grand Designs/Season 13/Grand Designs - S13E04 - Tiverton - Crooked Chocolate Box Cottage.mkv",</v>
      </c>
      <c r="K145" s="2" t="str">
        <f>IF(Combined[[#This Row],[Is name same]],Combined[[#This Row],[Episode number from TVMaze]],IF(Combined[[#This Row],[NFO created]]="No need",Combined[[#This Row],[Episode number from TVMaze]],""))</f>
        <v>S13E04</v>
      </c>
      <c r="L145" s="2" t="str">
        <f>CHAR(34)&amp;Combined[[#This Row],[Episode number from TVMaze]]&amp;CHAR(34)&amp;": "&amp;CHAR(34)&amp;Combined[[#This Row],[Correct TVDB episode number for getting image url]]&amp;CHAR(34)&amp;","</f>
        <v>"S13E04": "S13E04",</v>
      </c>
      <c r="M145" s="2" t="b">
        <f>Combined[[#This Row],[Correct TVDB episode number for getting image url]]=Combined[[#This Row],[Episode number from TVMaze]]</f>
        <v>1</v>
      </c>
      <c r="N145" s="2" t="str">
        <f>IF(Combined[[#This Row],[Have file]],IF(LEN(Combined[[#This Row],[Correct TVDB episode number for getting image url]])=0,"Find correct episode number for TheTVDB",""),"Find episode on the internet")</f>
        <v/>
      </c>
    </row>
    <row r="146" spans="1:14" x14ac:dyDescent="0.25">
      <c r="A146" t="str">
        <f>TVMaze[[#This Row],[Episode number]]</f>
        <v>S13E05</v>
      </c>
      <c r="B146" t="b">
        <f>IF(ISNUMBER(MATCH(Combined[Episode number from TVMaze],Files[Episode number],0)),TRUE,FALSE)</f>
        <v>1</v>
      </c>
      <c r="C146" t="str">
        <f>TVMaze[[#This Row],[Name]]</f>
        <v>South Lanarkshire: The Metal Sculptural Home</v>
      </c>
      <c r="D146" t="str">
        <f>VLOOKUP(Combined[[#This Row],[Episode number from TVMaze]],TVDB[],2,FALSE)</f>
        <v>South Lanarkshire: Metal Sculptural Home</v>
      </c>
      <c r="E146" s="2" t="b">
        <f>_xlfn.IFNA(Combined[[#This Row],[Name from TVMaze]]=Combined[[#This Row],[Name from TVDB]],FALSE)</f>
        <v>0</v>
      </c>
      <c r="F146" s="2" t="s">
        <v>1316</v>
      </c>
      <c r="G146" s="3">
        <f>VLOOKUP(Combined[[#This Row],[Episode number from TVMaze]],TVMazePython[],3,FALSE)</f>
        <v>41549</v>
      </c>
      <c r="H146" s="2" t="str">
        <f>VLOOKUP(Combined[[#This Row],[Episode number from TVMaze]],TVMazePython[],4,FALSE)</f>
        <v>Colin Mackinnon and his partner Marta Briongos take on an ambitious project to build a bespoke metal home next to an airfield runway, designed by one of Scotland's most eminent architects and inspired by aircraft hangars. They have to contend with violent rain, snow, 100mph winds and the worst storms for 100 years, and the couple have to draw on their reserves of mental energy as what was supposed to be a 12-month build heads into a third year.</v>
      </c>
      <c r="I146" s="2" t="str">
        <f>VLOOKUP(Combined[[#This Row],[Episode number from TVMaze]],Files[],3,FALSE)</f>
        <v>/home/ziga/share/Series/Other/0 Home and Gardening/Grand Designs/Season 13/Grand Designs - S13E05 - South Lanarkshire - Metal Sculptural Home.mkv</v>
      </c>
      <c r="J146" s="2" t="str">
        <f>CHAR(34)&amp;Combined[[#This Row],[Episode number from TVMaze]]&amp;CHAR(34)&amp;": "&amp;CHAR(34)&amp;Combined[[#This Row],[Path]]&amp;CHAR(34)&amp;","</f>
        <v>"S13E05": "/home/ziga/share/Series/Other/0 Home and Gardening/Grand Designs/Season 13/Grand Designs - S13E05 - South Lanarkshire - Metal Sculptural Home.mkv",</v>
      </c>
      <c r="K146" s="2" t="str">
        <f>IF(Combined[[#This Row],[Is name same]],Combined[[#This Row],[Episode number from TVMaze]],IF(Combined[[#This Row],[NFO created]]="No need",Combined[[#This Row],[Episode number from TVMaze]],""))</f>
        <v>S13E05</v>
      </c>
      <c r="L146" s="2" t="str">
        <f>CHAR(34)&amp;Combined[[#This Row],[Episode number from TVMaze]]&amp;CHAR(34)&amp;": "&amp;CHAR(34)&amp;Combined[[#This Row],[Correct TVDB episode number for getting image url]]&amp;CHAR(34)&amp;","</f>
        <v>"S13E05": "S13E05",</v>
      </c>
      <c r="M146" s="2" t="b">
        <f>Combined[[#This Row],[Correct TVDB episode number for getting image url]]=Combined[[#This Row],[Episode number from TVMaze]]</f>
        <v>1</v>
      </c>
      <c r="N146" s="2" t="str">
        <f>IF(Combined[[#This Row],[Have file]],IF(LEN(Combined[[#This Row],[Correct TVDB episode number for getting image url]])=0,"Find correct episode number for TheTVDB",""),"Find episode on the internet")</f>
        <v/>
      </c>
    </row>
    <row r="147" spans="1:14" x14ac:dyDescent="0.25">
      <c r="A147" t="str">
        <f>TVMaze[[#This Row],[Episode number]]</f>
        <v>S13E06</v>
      </c>
      <c r="B147" t="b">
        <f>IF(ISNUMBER(MATCH(Combined[Episode number from TVMaze],Files[Episode number],0)),TRUE,FALSE)</f>
        <v>1</v>
      </c>
      <c r="C147" t="str">
        <f>TVMaze[[#This Row],[Name]]</f>
        <v>Monmouthshire: The Japanese House</v>
      </c>
      <c r="D147" t="str">
        <f>VLOOKUP(Combined[[#This Row],[Episode number from TVMaze]],TVDB[],2,FALSE)</f>
        <v>Monmouthshire: Japanese House</v>
      </c>
      <c r="E147" s="2" t="b">
        <f>_xlfn.IFNA(Combined[[#This Row],[Name from TVMaze]]=Combined[[#This Row],[Name from TVDB]],FALSE)</f>
        <v>0</v>
      </c>
      <c r="F147" s="2" t="s">
        <v>1316</v>
      </c>
      <c r="G147" s="3">
        <f>VLOOKUP(Combined[[#This Row],[Episode number from TVMaze]],TVMazePython[],3,FALSE)</f>
        <v>41556</v>
      </c>
      <c r="H147" s="2" t="str">
        <f>VLOOKUP(Combined[[#This Row],[Episode number from TVMaze]],TVMazePython[],4,FALSE)</f>
        <v>Kevin McCloud meets Tamayo Hussey, who has missed Japan ever since she moved to the UK 14 years ago with her husband, quantum physics professor Nigel. The couple want to transform a 1960s forester's lodge into a unique Japanese house, complete with a tatami room - decorated in her homeland's traditional style - sliding paper walls and a bath on the roof. Keen to keep costs down, they have decided to engage only the design skills - rather than the full services - of an architect, so with no previous building experience they tackle the project alone.</v>
      </c>
      <c r="I147" s="2" t="str">
        <f>VLOOKUP(Combined[[#This Row],[Episode number from TVMaze]],Files[],3,FALSE)</f>
        <v>/home/ziga/share/Series/Other/0 Home and Gardening/Grand Designs/Season 13/Grand Designs - S13E06 - Monmouthshire - Japanese House.mkv</v>
      </c>
      <c r="J147" s="2" t="str">
        <f>CHAR(34)&amp;Combined[[#This Row],[Episode number from TVMaze]]&amp;CHAR(34)&amp;": "&amp;CHAR(34)&amp;Combined[[#This Row],[Path]]&amp;CHAR(34)&amp;","</f>
        <v>"S13E06": "/home/ziga/share/Series/Other/0 Home and Gardening/Grand Designs/Season 13/Grand Designs - S13E06 - Monmouthshire - Japanese House.mkv",</v>
      </c>
      <c r="K147" s="2" t="str">
        <f>IF(Combined[[#This Row],[Is name same]],Combined[[#This Row],[Episode number from TVMaze]],IF(Combined[[#This Row],[NFO created]]="No need",Combined[[#This Row],[Episode number from TVMaze]],""))</f>
        <v>S13E06</v>
      </c>
      <c r="L147" s="2" t="str">
        <f>CHAR(34)&amp;Combined[[#This Row],[Episode number from TVMaze]]&amp;CHAR(34)&amp;": "&amp;CHAR(34)&amp;Combined[[#This Row],[Correct TVDB episode number for getting image url]]&amp;CHAR(34)&amp;","</f>
        <v>"S13E06": "S13E06",</v>
      </c>
      <c r="M147" s="2" t="b">
        <f>Combined[[#This Row],[Correct TVDB episode number for getting image url]]=Combined[[#This Row],[Episode number from TVMaze]]</f>
        <v>1</v>
      </c>
      <c r="N147" s="2" t="str">
        <f>IF(Combined[[#This Row],[Have file]],IF(LEN(Combined[[#This Row],[Correct TVDB episode number for getting image url]])=0,"Find correct episode number for TheTVDB",""),"Find episode on the internet")</f>
        <v/>
      </c>
    </row>
    <row r="148" spans="1:14" x14ac:dyDescent="0.25">
      <c r="A148" t="str">
        <f>TVMaze[[#This Row],[Episode number]]</f>
        <v>S13E07</v>
      </c>
      <c r="B148" t="b">
        <f>IF(ISNUMBER(MATCH(Combined[Episode number from TVMaze],Files[Episode number],0)),TRUE,FALSE)</f>
        <v>1</v>
      </c>
      <c r="C148" t="str">
        <f>TVMaze[[#This Row],[Name]]</f>
        <v>Brockwell Park, South London: The Modernist Masterpiece</v>
      </c>
      <c r="D148" t="str">
        <f>VLOOKUP(Combined[[#This Row],[Episode number from TVMaze]],TVDB[],2,FALSE)</f>
        <v>South London: Modernist Masterpiece</v>
      </c>
      <c r="E148" s="2" t="b">
        <f>_xlfn.IFNA(Combined[[#This Row],[Name from TVMaze]]=Combined[[#This Row],[Name from TVDB]],FALSE)</f>
        <v>0</v>
      </c>
      <c r="F148" s="2" t="s">
        <v>1316</v>
      </c>
      <c r="G148" s="3">
        <f>VLOOKUP(Combined[[#This Row],[Episode number from TVMaze]],TVMazePython[],3,FALSE)</f>
        <v>41563</v>
      </c>
      <c r="H148" s="2" t="str">
        <f>VLOOKUP(Combined[[#This Row],[Episode number from TVMaze]],TVMazePython[],4,FALSE)</f>
        <v>Ben and Rachel Hammond have spent a year searching London for somewhere exciting to live with their two daughters, and they have finally stumbled on a 1950s home on a unique plot, situated within the leafy depths of a park in the south of the city. The only problem is the house itself - an ugly, inefficient and uninspiring property - and their solution is to radically redesign it into a sleek, modernist masterpiece. But this is no easy task, as Kevin McCloud finds out.</v>
      </c>
      <c r="I148" s="2" t="str">
        <f>VLOOKUP(Combined[[#This Row],[Episode number from TVMaze]],Files[],3,FALSE)</f>
        <v>/home/ziga/share/Series/Other/0 Home and Gardening/Grand Designs/Season 13/Grand Designs - S13E07 - South London - Modernist Masterpiece.mkv</v>
      </c>
      <c r="J148" s="2" t="str">
        <f>CHAR(34)&amp;Combined[[#This Row],[Episode number from TVMaze]]&amp;CHAR(34)&amp;": "&amp;CHAR(34)&amp;Combined[[#This Row],[Path]]&amp;CHAR(34)&amp;","</f>
        <v>"S13E07": "/home/ziga/share/Series/Other/0 Home and Gardening/Grand Designs/Season 13/Grand Designs - S13E07 - South London - Modernist Masterpiece.mkv",</v>
      </c>
      <c r="K148" s="2" t="str">
        <f>IF(Combined[[#This Row],[Is name same]],Combined[[#This Row],[Episode number from TVMaze]],IF(Combined[[#This Row],[NFO created]]="No need",Combined[[#This Row],[Episode number from TVMaze]],""))</f>
        <v>S13E07</v>
      </c>
      <c r="L148" s="2" t="str">
        <f>CHAR(34)&amp;Combined[[#This Row],[Episode number from TVMaze]]&amp;CHAR(34)&amp;": "&amp;CHAR(34)&amp;Combined[[#This Row],[Correct TVDB episode number for getting image url]]&amp;CHAR(34)&amp;","</f>
        <v>"S13E07": "S13E07",</v>
      </c>
      <c r="M148" s="2" t="b">
        <f>Combined[[#This Row],[Correct TVDB episode number for getting image url]]=Combined[[#This Row],[Episode number from TVMaze]]</f>
        <v>1</v>
      </c>
      <c r="N148" s="2" t="str">
        <f>IF(Combined[[#This Row],[Have file]],IF(LEN(Combined[[#This Row],[Correct TVDB episode number for getting image url]])=0,"Find correct episode number for TheTVDB",""),"Find episode on the internet")</f>
        <v/>
      </c>
    </row>
    <row r="149" spans="1:14" x14ac:dyDescent="0.25">
      <c r="A149" t="str">
        <f>TVMaze[[#This Row],[Episode number]]</f>
        <v>S13E08</v>
      </c>
      <c r="B149" t="b">
        <f>IF(ISNUMBER(MATCH(Combined[Episode number from TVMaze],Files[Episode number],0)),TRUE,FALSE)</f>
        <v>1</v>
      </c>
      <c r="C149" t="str">
        <f>TVMaze[[#This Row],[Name]]</f>
        <v>East Devon: The Cob Castle</v>
      </c>
      <c r="D149" t="str">
        <f>VLOOKUP(Combined[[#This Row],[Episode number from TVMaze]],TVDB[],2,FALSE)</f>
        <v>East Devon: Cob Castle</v>
      </c>
      <c r="E149" s="2" t="b">
        <f>_xlfn.IFNA(Combined[[#This Row],[Name from TVMaze]]=Combined[[#This Row],[Name from TVDB]],FALSE)</f>
        <v>0</v>
      </c>
      <c r="F149" s="2" t="s">
        <v>1316</v>
      </c>
      <c r="G149" s="3">
        <f>VLOOKUP(Combined[[#This Row],[Episode number from TVMaze]],TVMazePython[],3,FALSE)</f>
        <v>41570</v>
      </c>
      <c r="H149" s="2" t="str">
        <f>VLOOKUP(Combined[[#This Row],[Episode number from TVMaze]],TVMazePython[],4,FALSE)</f>
        <v>Kevin meets Kevin McCabe who wants to build what may be the largest Cob structure in the world. With 6 metre-tall walls, McCabe fights a battle with the weather and his implausibly small £350,000 budget. He plans to form the huge property out of two vast curved roundhouses - the largest of which is inspired by the natural geometry of a snail shell - connected by glazing and topped with wildflower meadow roofs to mirror the surrounding countryside. However, the project involves mixing and laying a mind-boggling 2,000 tons of cob, all during warm, sunny weather - and the sheer scale of the task soon becomes clear.</v>
      </c>
      <c r="I149" s="2" t="str">
        <f>VLOOKUP(Combined[[#This Row],[Episode number from TVMaze]],Files[],3,FALSE)</f>
        <v>/home/ziga/share/Series/Other/0 Home and Gardening/Grand Designs/Season 13/Grand Designs - S13E08 - East Devon - Cob Castle.mkv</v>
      </c>
      <c r="J149" s="2" t="str">
        <f>CHAR(34)&amp;Combined[[#This Row],[Episode number from TVMaze]]&amp;CHAR(34)&amp;": "&amp;CHAR(34)&amp;Combined[[#This Row],[Path]]&amp;CHAR(34)&amp;","</f>
        <v>"S13E08": "/home/ziga/share/Series/Other/0 Home and Gardening/Grand Designs/Season 13/Grand Designs - S13E08 - East Devon - Cob Castle.mkv",</v>
      </c>
      <c r="K149" s="2" t="str">
        <f>IF(Combined[[#This Row],[Is name same]],Combined[[#This Row],[Episode number from TVMaze]],IF(Combined[[#This Row],[NFO created]]="No need",Combined[[#This Row],[Episode number from TVMaze]],""))</f>
        <v>S13E08</v>
      </c>
      <c r="L149" s="2" t="str">
        <f>CHAR(34)&amp;Combined[[#This Row],[Episode number from TVMaze]]&amp;CHAR(34)&amp;": "&amp;CHAR(34)&amp;Combined[[#This Row],[Correct TVDB episode number for getting image url]]&amp;CHAR(34)&amp;","</f>
        <v>"S13E08": "S13E08",</v>
      </c>
      <c r="M149" s="2" t="b">
        <f>Combined[[#This Row],[Correct TVDB episode number for getting image url]]=Combined[[#This Row],[Episode number from TVMaze]]</f>
        <v>1</v>
      </c>
      <c r="N149" s="2" t="str">
        <f>IF(Combined[[#This Row],[Have file]],IF(LEN(Combined[[#This Row],[Correct TVDB episode number for getting image url]])=0,"Find correct episode number for TheTVDB",""),"Find episode on the internet")</f>
        <v/>
      </c>
    </row>
    <row r="150" spans="1:14" x14ac:dyDescent="0.25">
      <c r="A150" t="str">
        <f>TVMaze[[#This Row],[Episode number]]</f>
        <v>S13E09</v>
      </c>
      <c r="B150" t="b">
        <f>IF(ISNUMBER(MATCH(Combined[Episode number from TVMaze],Files[Episode number],0)),TRUE,FALSE)</f>
        <v>1</v>
      </c>
      <c r="C150" t="str">
        <f>TVMaze[[#This Row],[Name]]</f>
        <v>Newbury: The Christmas Farm</v>
      </c>
      <c r="D150" t="str">
        <f>VLOOKUP(Combined[[#This Row],[Episode number from TVMaze]],TVDB[],2,FALSE)</f>
        <v>Newbury: Christmas Farm</v>
      </c>
      <c r="E150" s="2" t="b">
        <f>_xlfn.IFNA(Combined[[#This Row],[Name from TVMaze]]=Combined[[#This Row],[Name from TVDB]],FALSE)</f>
        <v>0</v>
      </c>
      <c r="F150" s="2" t="s">
        <v>1316</v>
      </c>
      <c r="G150" s="3">
        <f>VLOOKUP(Combined[[#This Row],[Episode number from TVMaze]],TVMazePython[],3,FALSE)</f>
        <v>41577</v>
      </c>
      <c r="H150" s="2" t="str">
        <f>VLOOKUP(Combined[[#This Row],[Episode number from TVMaze]],TVMazePython[],4,FALSE)</f>
        <v>Michael Butcher and Phil Palmer fell in love with Christmas Farm, near Newbury, and decided to give up their urban media jobs and move to the country. Michael and Phil want to bring a touch of urban glamour to their new home at Christmas Farm by creating a modern farmhouse that combines an open-plan party pad with functional spaces below. As the builders set to work on the handcrafted flint exterior, complete with a vast trapezoid window, the pair juggle construction with farming the land, and in an attempt to make the project work financially, they set up a microbrewery in the barn.</v>
      </c>
      <c r="I150" s="2" t="str">
        <f>VLOOKUP(Combined[[#This Row],[Episode number from TVMaze]],Files[],3,FALSE)</f>
        <v>/home/ziga/share/Series/Other/0 Home and Gardening/Grand Designs/Season 13/Grand Designs - S13E09 - Newbury - Christmas Farm.mkv</v>
      </c>
      <c r="J150" s="2" t="str">
        <f>CHAR(34)&amp;Combined[[#This Row],[Episode number from TVMaze]]&amp;CHAR(34)&amp;": "&amp;CHAR(34)&amp;Combined[[#This Row],[Path]]&amp;CHAR(34)&amp;","</f>
        <v>"S13E09": "/home/ziga/share/Series/Other/0 Home and Gardening/Grand Designs/Season 13/Grand Designs - S13E09 - Newbury - Christmas Farm.mkv",</v>
      </c>
      <c r="K150" s="2" t="str">
        <f>IF(Combined[[#This Row],[Is name same]],Combined[[#This Row],[Episode number from TVMaze]],IF(Combined[[#This Row],[NFO created]]="No need",Combined[[#This Row],[Episode number from TVMaze]],""))</f>
        <v>S13E09</v>
      </c>
      <c r="L150" s="2" t="str">
        <f>CHAR(34)&amp;Combined[[#This Row],[Episode number from TVMaze]]&amp;CHAR(34)&amp;": "&amp;CHAR(34)&amp;Combined[[#This Row],[Correct TVDB episode number for getting image url]]&amp;CHAR(34)&amp;","</f>
        <v>"S13E09": "S13E09",</v>
      </c>
      <c r="M150" s="2" t="b">
        <f>Combined[[#This Row],[Correct TVDB episode number for getting image url]]=Combined[[#This Row],[Episode number from TVMaze]]</f>
        <v>1</v>
      </c>
      <c r="N150" s="2" t="str">
        <f>IF(Combined[[#This Row],[Have file]],IF(LEN(Combined[[#This Row],[Correct TVDB episode number for getting image url]])=0,"Find correct episode number for TheTVDB",""),"Find episode on the internet")</f>
        <v/>
      </c>
    </row>
    <row r="151" spans="1:14" x14ac:dyDescent="0.25">
      <c r="A151" t="str">
        <f>TVMaze[[#This Row],[Episode number]]</f>
        <v>S13E10</v>
      </c>
      <c r="B151" t="b">
        <f>IF(ISNUMBER(MATCH(Combined[Episode number from TVMaze],Files[Episode number],0)),TRUE,FALSE)</f>
        <v>1</v>
      </c>
      <c r="C151" t="str">
        <f>TVMaze[[#This Row],[Name]]</f>
        <v>Revisited - Málaga, Spain: The Modernist Villa (Revisited from Grand Designs Abroad 8 September 2004)</v>
      </c>
      <c r="D151" t="e">
        <f>VLOOKUP(Combined[[#This Row],[Episode number from TVMaze]],TVDB[],2,FALSE)</f>
        <v>#N/A</v>
      </c>
      <c r="E151" s="2" t="b">
        <f>_xlfn.IFNA(Combined[[#This Row],[Name from TVMaze]]=Combined[[#This Row],[Name from TVDB]],FALSE)</f>
        <v>0</v>
      </c>
      <c r="F151" s="2"/>
      <c r="G151" s="3">
        <f>VLOOKUP(Combined[[#This Row],[Episode number from TVMaze]],TVMazePython[],3,FALSE)</f>
        <v>41584</v>
      </c>
      <c r="H151" s="2" t="str">
        <f>VLOOKUP(Combined[[#This Row],[Episode number from TVMaze]],TVMazePython[],4,FALSE)</f>
        <v>Around ten years ago Gil and Hillary Briffa retired to southern Spain. Instead of creating a home like the traditional old fincas in the area, their architect son designed them a confrontational, modernist glass box, surrounded by boldly colourful connected rooms, behind a giant citadel wall. A few years ago, Gil died, but now Kevin McCloud revisits Hillary to find out whether her home has settled into its landscape and how life is treating her as a British widow living abroad.</v>
      </c>
      <c r="I151" s="2" t="str">
        <f>VLOOKUP(Combined[[#This Row],[Episode number from TVMaze]],Files[],3,FALSE)</f>
        <v>/home/ziga/share/Series/Other/0 Home and Gardening/Grand Designs/Season 13/Grand Designs - S13E10 - Revisited - Málaga Spain - The Modernist Villa.mkv</v>
      </c>
      <c r="J151" s="2" t="str">
        <f>CHAR(34)&amp;Combined[[#This Row],[Episode number from TVMaze]]&amp;CHAR(34)&amp;": "&amp;CHAR(34)&amp;Combined[[#This Row],[Path]]&amp;CHAR(34)&amp;","</f>
        <v>"S13E10": "/home/ziga/share/Series/Other/0 Home and Gardening/Grand Designs/Season 13/Grand Designs - S13E10 - Revisited - Málaga Spain - The Modernist Villa.mkv",</v>
      </c>
      <c r="K151" s="2" t="str">
        <f>IF(Combined[[#This Row],[Is name same]],Combined[[#This Row],[Episode number from TVMaze]],IF(Combined[[#This Row],[NFO created]]="No need",Combined[[#This Row],[Episode number from TVMaze]],""))</f>
        <v/>
      </c>
      <c r="L151" s="2" t="str">
        <f>CHAR(34)&amp;Combined[[#This Row],[Episode number from TVMaze]]&amp;CHAR(34)&amp;": "&amp;CHAR(34)&amp;Combined[[#This Row],[Correct TVDB episode number for getting image url]]&amp;CHAR(34)&amp;","</f>
        <v>"S13E10": "",</v>
      </c>
      <c r="M151" s="2" t="b">
        <f>Combined[[#This Row],[Correct TVDB episode number for getting image url]]=Combined[[#This Row],[Episode number from TVMaze]]</f>
        <v>0</v>
      </c>
      <c r="N151" s="2" t="str">
        <f>IF(Combined[[#This Row],[Have file]],IF(LEN(Combined[[#This Row],[Correct TVDB episode number for getting image url]])=0,"Find correct episode number for TheTVDB",""),"Find episode on the internet")</f>
        <v>Find correct episode number for TheTVDB</v>
      </c>
    </row>
    <row r="152" spans="1:14" x14ac:dyDescent="0.25">
      <c r="A152" t="str">
        <f>TVMaze[[#This Row],[Episode number]]</f>
        <v>S13E11</v>
      </c>
      <c r="B152" t="b">
        <f>IF(ISNUMBER(MATCH(Combined[Episode number from TVMaze],Files[Episode number],0)),TRUE,FALSE)</f>
        <v>1</v>
      </c>
      <c r="C152" t="str">
        <f>TVMaze[[#This Row],[Name]]</f>
        <v>Revisited - Woodbridge: The Modest Home (Revisited from S10 Ep3)</v>
      </c>
      <c r="D152" t="e">
        <f>VLOOKUP(Combined[[#This Row],[Episode number from TVMaze]],TVDB[],2,FALSE)</f>
        <v>#N/A</v>
      </c>
      <c r="E152" s="2" t="b">
        <f>_xlfn.IFNA(Combined[[#This Row],[Name from TVMaze]]=Combined[[#This Row],[Name from TVDB]],FALSE)</f>
        <v>0</v>
      </c>
      <c r="F152" s="2"/>
      <c r="G152" s="3">
        <f>VLOOKUP(Combined[[#This Row],[Episode number from TVMaze]],TVMazePython[],3,FALSE)</f>
        <v>41591</v>
      </c>
      <c r="H152" s="2" t="str">
        <f>VLOOKUP(Combined[[#This Row],[Episode number from TVMaze]],TVMazePython[],4,FALSE)</f>
        <v>Six years ago Lucie Fairweather and Nat McBride began to build an affordable eco home in Woodbridge for themselves and their two young children. However, their journey was to be about more than bricks and mortar. Just before they got started, Nat discovered he had cancer, and after just a few months he died. Lucie decided to carry on with the project Nat had devised. Kevin McCloud returns to find out just how life has moved on for Lucie and to discover whether her wonderful and striking house has become part of the landscape.</v>
      </c>
      <c r="I152" s="2" t="str">
        <f>VLOOKUP(Combined[[#This Row],[Episode number from TVMaze]],Files[],3,FALSE)</f>
        <v>/home/ziga/share/Series/Other/0 Home and Gardening/Grand Designs/Season 13/Grand Designs - S13E11 - Revisited - Woodbridge - The Modest Home.mkv</v>
      </c>
      <c r="J152" s="2" t="str">
        <f>CHAR(34)&amp;Combined[[#This Row],[Episode number from TVMaze]]&amp;CHAR(34)&amp;": "&amp;CHAR(34)&amp;Combined[[#This Row],[Path]]&amp;CHAR(34)&amp;","</f>
        <v>"S13E11": "/home/ziga/share/Series/Other/0 Home and Gardening/Grand Designs/Season 13/Grand Designs - S13E11 - Revisited - Woodbridge - The Modest Home.mkv",</v>
      </c>
      <c r="K152" s="2" t="s">
        <v>935</v>
      </c>
      <c r="L152" s="2" t="str">
        <f>CHAR(34)&amp;Combined[[#This Row],[Episode number from TVMaze]]&amp;CHAR(34)&amp;": "&amp;CHAR(34)&amp;Combined[[#This Row],[Correct TVDB episode number for getting image url]]&amp;CHAR(34)&amp;","</f>
        <v>"S13E11": "S10E12",</v>
      </c>
      <c r="M152" s="2" t="b">
        <f>Combined[[#This Row],[Correct TVDB episode number for getting image url]]=Combined[[#This Row],[Episode number from TVMaze]]</f>
        <v>0</v>
      </c>
      <c r="N152" s="2" t="str">
        <f>IF(Combined[[#This Row],[Have file]],IF(LEN(Combined[[#This Row],[Correct TVDB episode number for getting image url]])=0,"Find correct episode number for TheTVDB",""),"Find episode on the internet")</f>
        <v/>
      </c>
    </row>
    <row r="153" spans="1:14" x14ac:dyDescent="0.25">
      <c r="A153" t="str">
        <f>TVMaze[[#This Row],[Episode number]]</f>
        <v>S14E01</v>
      </c>
      <c r="B153" t="b">
        <f>IF(ISNUMBER(MATCH(Combined[Episode number from TVMaze],Files[Episode number],0)),TRUE,FALSE)</f>
        <v>1</v>
      </c>
      <c r="C153" t="str">
        <f>TVMaze[[#This Row],[Name]]</f>
        <v>Gwynedd: The Clifftop House</v>
      </c>
      <c r="D153" t="str">
        <f>VLOOKUP(Combined[[#This Row],[Episode number from TVMaze]],TVDB[],2,FALSE)</f>
        <v>Gwynedd: The Clifftop House</v>
      </c>
      <c r="E153" s="2" t="b">
        <f>_xlfn.IFNA(Combined[[#This Row],[Name from TVMaze]]=Combined[[#This Row],[Name from TVDB]],FALSE)</f>
        <v>1</v>
      </c>
      <c r="F153" s="2"/>
      <c r="G153" s="3">
        <f>VLOOKUP(Combined[[#This Row],[Episode number from TVMaze]],TVMazePython[],3,FALSE)</f>
        <v>41885</v>
      </c>
      <c r="H153" s="2" t="str">
        <f>VLOOKUP(Combined[[#This Row],[Episode number from TVMaze]],TVMazePython[],4,FALSE)</f>
        <v>Rob Hodgson and Kay Ralph plan to build a sleek glass-fronted house on a crumbling clifftop in Gwynedd, taking inspiration from the villas of California. However, access will be extremely difficult and expensive because of a low bridge over the narrow track to the site, and problems arise when one of the heaviest storms in recent history batters the coast. To make matters worse, erosion specialists predict the property could fall into the sea within just 60 years and the pair are prohibited from reinforcing the cliff face.</v>
      </c>
      <c r="I153" s="2" t="str">
        <f>VLOOKUP(Combined[[#This Row],[Episode number from TVMaze]],Files[],3,FALSE)</f>
        <v>/home/ziga/share/Series/Other/0 Home and Gardening/Grand Designs/Season 14/Grand Designs - S14E01 - North Wales - The Clifftop House.mkv</v>
      </c>
      <c r="J153" s="2" t="str">
        <f>CHAR(34)&amp;Combined[[#This Row],[Episode number from TVMaze]]&amp;CHAR(34)&amp;": "&amp;CHAR(34)&amp;Combined[[#This Row],[Path]]&amp;CHAR(34)&amp;","</f>
        <v>"S14E01": "/home/ziga/share/Series/Other/0 Home and Gardening/Grand Designs/Season 14/Grand Designs - S14E01 - North Wales - The Clifftop House.mkv",</v>
      </c>
      <c r="K153" s="2" t="str">
        <f>IF(Combined[[#This Row],[Is name same]],Combined[[#This Row],[Episode number from TVMaze]],IF(Combined[[#This Row],[NFO created]]="No need",Combined[[#This Row],[Episode number from TVMaze]],""))</f>
        <v>S14E01</v>
      </c>
      <c r="L153" s="2" t="str">
        <f>CHAR(34)&amp;Combined[[#This Row],[Episode number from TVMaze]]&amp;CHAR(34)&amp;": "&amp;CHAR(34)&amp;Combined[[#This Row],[Correct TVDB episode number for getting image url]]&amp;CHAR(34)&amp;","</f>
        <v>"S14E01": "S14E01",</v>
      </c>
      <c r="M153" s="2" t="b">
        <f>Combined[[#This Row],[Correct TVDB episode number for getting image url]]=Combined[[#This Row],[Episode number from TVMaze]]</f>
        <v>1</v>
      </c>
      <c r="N153" s="2" t="str">
        <f>IF(Combined[[#This Row],[Have file]],IF(LEN(Combined[[#This Row],[Correct TVDB episode number for getting image url]])=0,"Find correct episode number for TheTVDB",""),"Find episode on the internet")</f>
        <v/>
      </c>
    </row>
    <row r="154" spans="1:14" x14ac:dyDescent="0.25">
      <c r="A154" t="str">
        <f>TVMaze[[#This Row],[Episode number]]</f>
        <v>S14E02</v>
      </c>
      <c r="B154" t="b">
        <f>IF(ISNUMBER(MATCH(Combined[Episode number from TVMaze],Files[Episode number],0)),TRUE,FALSE)</f>
        <v>1</v>
      </c>
      <c r="C154" t="str">
        <f>TVMaze[[#This Row],[Name]]</f>
        <v>Cornwall: The Cross-Laminated Timber House</v>
      </c>
      <c r="D154" t="str">
        <f>VLOOKUP(Combined[[#This Row],[Episode number from TVMaze]],TVDB[],2,FALSE)</f>
        <v>Cornwall: The Cross-Laminated Timber House</v>
      </c>
      <c r="E154" s="2" t="b">
        <f>_xlfn.IFNA(Combined[[#This Row],[Name from TVMaze]]=Combined[[#This Row],[Name from TVDB]],FALSE)</f>
        <v>1</v>
      </c>
      <c r="F154" s="2"/>
      <c r="G154" s="3">
        <f>VLOOKUP(Combined[[#This Row],[Episode number from TVMaze]],TVMazePython[],3,FALSE)</f>
        <v>41892</v>
      </c>
      <c r="H154" s="2" t="str">
        <f>VLOOKUP(Combined[[#This Row],[Episode number from TVMaze]],TVMazePython[],4,FALSE)</f>
        <v>Product designer Rebecca Sturrock has returned to her family home in Cornwall with her partner Gregory Kewish and a highly ambitious plan. Together they hope to transform a small, damp bungalow into a cutting-edge home to share with their twin three-year-old daughters - all for just £80,000. The design is radical - to reinforce the walls of the old property and add a new living space on top to take advantage of the views. This extra floor will be made entirely of thick wooden panels engineered in Germany and normally assembled by a crew of specialist installers. However, budget constraints mean the couple are determined to do it all themselves.</v>
      </c>
      <c r="I154" s="2" t="str">
        <f>VLOOKUP(Combined[[#This Row],[Episode number from TVMaze]],Files[],3,FALSE)</f>
        <v>/home/ziga/share/Series/Other/0 Home and Gardening/Grand Designs/Season 14/Grand Designs - S14E02 - North Cornwall - The Cross-Laminated Timber House.mkv</v>
      </c>
      <c r="J154" s="2" t="str">
        <f>CHAR(34)&amp;Combined[[#This Row],[Episode number from TVMaze]]&amp;CHAR(34)&amp;": "&amp;CHAR(34)&amp;Combined[[#This Row],[Path]]&amp;CHAR(34)&amp;","</f>
        <v>"S14E02": "/home/ziga/share/Series/Other/0 Home and Gardening/Grand Designs/Season 14/Grand Designs - S14E02 - North Cornwall - The Cross-Laminated Timber House.mkv",</v>
      </c>
      <c r="K154" s="2" t="str">
        <f>IF(Combined[[#This Row],[Is name same]],Combined[[#This Row],[Episode number from TVMaze]],IF(Combined[[#This Row],[NFO created]]="No need",Combined[[#This Row],[Episode number from TVMaze]],""))</f>
        <v>S14E02</v>
      </c>
      <c r="L154" s="2" t="str">
        <f>CHAR(34)&amp;Combined[[#This Row],[Episode number from TVMaze]]&amp;CHAR(34)&amp;": "&amp;CHAR(34)&amp;Combined[[#This Row],[Correct TVDB episode number for getting image url]]&amp;CHAR(34)&amp;","</f>
        <v>"S14E02": "S14E02",</v>
      </c>
      <c r="M154" s="2" t="b">
        <f>Combined[[#This Row],[Correct TVDB episode number for getting image url]]=Combined[[#This Row],[Episode number from TVMaze]]</f>
        <v>1</v>
      </c>
      <c r="N154" s="2" t="str">
        <f>IF(Combined[[#This Row],[Have file]],IF(LEN(Combined[[#This Row],[Correct TVDB episode number for getting image url]])=0,"Find correct episode number for TheTVDB",""),"Find episode on the internet")</f>
        <v/>
      </c>
    </row>
    <row r="155" spans="1:14" x14ac:dyDescent="0.25">
      <c r="A155" t="str">
        <f>TVMaze[[#This Row],[Episode number]]</f>
        <v>S14E03</v>
      </c>
      <c r="B155" t="b">
        <f>IF(ISNUMBER(MATCH(Combined[Episode number from TVMaze],Files[Episode number],0)),TRUE,FALSE)</f>
        <v>1</v>
      </c>
      <c r="C155" t="str">
        <f>TVMaze[[#This Row],[Name]]</f>
        <v>Milton Keynes: The Round House</v>
      </c>
      <c r="D155" t="str">
        <f>VLOOKUP(Combined[[#This Row],[Episode number from TVMaze]],TVDB[],2,FALSE)</f>
        <v>Milton Keynes: The Round House</v>
      </c>
      <c r="E155" s="2" t="b">
        <f>_xlfn.IFNA(Combined[[#This Row],[Name from TVMaze]]=Combined[[#This Row],[Name from TVDB]],FALSE)</f>
        <v>1</v>
      </c>
      <c r="F155" s="2"/>
      <c r="G155" s="3">
        <f>VLOOKUP(Combined[[#This Row],[Episode number from TVMaze]],TVMazePython[],3,FALSE)</f>
        <v>41899</v>
      </c>
      <c r="H155" s="2" t="str">
        <f>VLOOKUP(Combined[[#This Row],[Episode number from TVMaze]],TVMazePython[],4,FALSE)</f>
        <v>GP Peter Berkin and his wife Chard, an alternative medicine practitioner, have decided to build a new home at the bottom of their garden, but cannot agree on any part of the design - even the basic shape. Peter is a keen hobbyist who wants the house to feature a workshop where he can build a plane, and he's planning to spend twice the £200,000 budget Chard has in mind. Kevin McCloud follows their progress.</v>
      </c>
      <c r="I155" s="2" t="str">
        <f>VLOOKUP(Combined[[#This Row],[Episode number from TVMaze]],Files[],3,FALSE)</f>
        <v>/home/ziga/share/Series/Other/0 Home and Gardening/Grand Designs/Season 14/Grand Designs - S14E03 - Milton Keynes - Round House.mkv</v>
      </c>
      <c r="J155" s="2" t="str">
        <f>CHAR(34)&amp;Combined[[#This Row],[Episode number from TVMaze]]&amp;CHAR(34)&amp;": "&amp;CHAR(34)&amp;Combined[[#This Row],[Path]]&amp;CHAR(34)&amp;","</f>
        <v>"S14E03": "/home/ziga/share/Series/Other/0 Home and Gardening/Grand Designs/Season 14/Grand Designs - S14E03 - Milton Keynes - Round House.mkv",</v>
      </c>
      <c r="K155" s="2" t="str">
        <f>IF(Combined[[#This Row],[Is name same]],Combined[[#This Row],[Episode number from TVMaze]],IF(Combined[[#This Row],[NFO created]]="No need",Combined[[#This Row],[Episode number from TVMaze]],""))</f>
        <v>S14E03</v>
      </c>
      <c r="L155" s="2" t="str">
        <f>CHAR(34)&amp;Combined[[#This Row],[Episode number from TVMaze]]&amp;CHAR(34)&amp;": "&amp;CHAR(34)&amp;Combined[[#This Row],[Correct TVDB episode number for getting image url]]&amp;CHAR(34)&amp;","</f>
        <v>"S14E03": "S14E03",</v>
      </c>
      <c r="M155" s="2" t="b">
        <f>Combined[[#This Row],[Correct TVDB episode number for getting image url]]=Combined[[#This Row],[Episode number from TVMaze]]</f>
        <v>1</v>
      </c>
      <c r="N155" s="2" t="str">
        <f>IF(Combined[[#This Row],[Have file]],IF(LEN(Combined[[#This Row],[Correct TVDB episode number for getting image url]])=0,"Find correct episode number for TheTVDB",""),"Find episode on the internet")</f>
        <v/>
      </c>
    </row>
    <row r="156" spans="1:14" x14ac:dyDescent="0.25">
      <c r="A156" t="str">
        <f>TVMaze[[#This Row],[Episode number]]</f>
        <v>S14E04</v>
      </c>
      <c r="B156" t="b">
        <f>IF(ISNUMBER(MATCH(Combined[Episode number from TVMaze],Files[Episode number],0)),TRUE,FALSE)</f>
        <v>1</v>
      </c>
      <c r="C156" t="str">
        <f>TVMaze[[#This Row],[Name]]</f>
        <v>County Londonderry: The Shipping Containers House</v>
      </c>
      <c r="D156" t="str">
        <f>VLOOKUP(Combined[[#This Row],[Episode number from TVMaze]],TVDB[],2,FALSE)</f>
        <v>County Londonderry: The Shipping Containers House</v>
      </c>
      <c r="E156" s="2" t="b">
        <f>_xlfn.IFNA(Combined[[#This Row],[Name from TVMaze]]=Combined[[#This Row],[Name from TVDB]],FALSE)</f>
        <v>1</v>
      </c>
      <c r="F156" s="2"/>
      <c r="G156" s="3">
        <f>VLOOKUP(Combined[[#This Row],[Episode number from TVMaze]],TVMazePython[],3,FALSE)</f>
        <v>41906</v>
      </c>
      <c r="H156" s="2" t="str">
        <f>VLOOKUP(Combined[[#This Row],[Episode number from TVMaze]],TVMazePython[],4,FALSE)</f>
        <v>Architect Patrick Bradley has come up with an unusual £100,000 house design built out of four 45ft shipping containers, welded together to form a giant cross and cantilevered over the top of a stream on the family farm in County Londonderry. His mother is hoping the new home will help her son find a girlfriend, but the small budget and tight schedule soon pose problems</v>
      </c>
      <c r="I156" s="2" t="str">
        <f>VLOOKUP(Combined[[#This Row],[Episode number from TVMaze]],Files[],3,FALSE)</f>
        <v>/home/ziga/share/Series/Other/0 Home and Gardening/Grand Designs/Season 14/Grand Designs - S14E04 - County Derry - Shipping Container House.mkv</v>
      </c>
      <c r="J156" s="2" t="str">
        <f>CHAR(34)&amp;Combined[[#This Row],[Episode number from TVMaze]]&amp;CHAR(34)&amp;": "&amp;CHAR(34)&amp;Combined[[#This Row],[Path]]&amp;CHAR(34)&amp;","</f>
        <v>"S14E04": "/home/ziga/share/Series/Other/0 Home and Gardening/Grand Designs/Season 14/Grand Designs - S14E04 - County Derry - Shipping Container House.mkv",</v>
      </c>
      <c r="K156" s="2" t="str">
        <f>IF(Combined[[#This Row],[Is name same]],Combined[[#This Row],[Episode number from TVMaze]],IF(Combined[[#This Row],[NFO created]]="No need",Combined[[#This Row],[Episode number from TVMaze]],""))</f>
        <v>S14E04</v>
      </c>
      <c r="L156" s="2" t="str">
        <f>CHAR(34)&amp;Combined[[#This Row],[Episode number from TVMaze]]&amp;CHAR(34)&amp;": "&amp;CHAR(34)&amp;Combined[[#This Row],[Correct TVDB episode number for getting image url]]&amp;CHAR(34)&amp;","</f>
        <v>"S14E04": "S14E04",</v>
      </c>
      <c r="M156" s="2" t="b">
        <f>Combined[[#This Row],[Correct TVDB episode number for getting image url]]=Combined[[#This Row],[Episode number from TVMaze]]</f>
        <v>1</v>
      </c>
      <c r="N156" s="2" t="str">
        <f>IF(Combined[[#This Row],[Have file]],IF(LEN(Combined[[#This Row],[Correct TVDB episode number for getting image url]])=0,"Find correct episode number for TheTVDB",""),"Find episode on the internet")</f>
        <v/>
      </c>
    </row>
    <row r="157" spans="1:14" x14ac:dyDescent="0.25">
      <c r="A157" t="str">
        <f>TVMaze[[#This Row],[Episode number]]</f>
        <v>S14E05</v>
      </c>
      <c r="B157" t="b">
        <f>IF(ISNUMBER(MATCH(Combined[Episode number from TVMaze],Files[Episode number],0)),TRUE,FALSE)</f>
        <v>1</v>
      </c>
      <c r="C157" t="str">
        <f>TVMaze[[#This Row],[Name]]</f>
        <v>London: The Urban Shed</v>
      </c>
      <c r="D157" t="str">
        <f>VLOOKUP(Combined[[#This Row],[Episode number from TVMaze]],TVDB[],2,FALSE)</f>
        <v>London: The Urban Shed</v>
      </c>
      <c r="E157" s="2" t="b">
        <f>_xlfn.IFNA(Combined[[#This Row],[Name from TVMaze]]=Combined[[#This Row],[Name from TVDB]],FALSE)</f>
        <v>1</v>
      </c>
      <c r="F157" s="2"/>
      <c r="G157" s="3">
        <f>VLOOKUP(Combined[[#This Row],[Episode number from TVMaze]],TVMazePython[],3,FALSE)</f>
        <v>41913</v>
      </c>
      <c r="H157" s="2" t="str">
        <f>VLOOKUP(Combined[[#This Row],[Episode number from TVMaze]],TVMazePython[],4,FALSE)</f>
        <v>Tracy Fox and husband Steve want to build an "urban shed" featuring two studios, three bedrooms and a double-height space with a walkway, made out of industrial-style materials including corrugated cement fibreboard and 20ft panels of polycarbonate sheeting. Having discovered an old milk yard tucked away behind some flats and shops in south-east London, their long-held desire to build a highly unconventional family home and workspace begins. But their choice of unorthodox materials proves challenging and costly.</v>
      </c>
      <c r="I157" s="2" t="str">
        <f>VLOOKUP(Combined[[#This Row],[Episode number from TVMaze]],Files[],3,FALSE)</f>
        <v>/home/ziga/share/Series/Other/0 Home and Gardening/Grand Designs/Season 14/Grand Designs - S14E05 - South East London - Urban Shed.mkv</v>
      </c>
      <c r="J157" s="2" t="str">
        <f>CHAR(34)&amp;Combined[[#This Row],[Episode number from TVMaze]]&amp;CHAR(34)&amp;": "&amp;CHAR(34)&amp;Combined[[#This Row],[Path]]&amp;CHAR(34)&amp;","</f>
        <v>"S14E05": "/home/ziga/share/Series/Other/0 Home and Gardening/Grand Designs/Season 14/Grand Designs - S14E05 - South East London - Urban Shed.mkv",</v>
      </c>
      <c r="K157" s="2" t="str">
        <f>IF(Combined[[#This Row],[Is name same]],Combined[[#This Row],[Episode number from TVMaze]],IF(Combined[[#This Row],[NFO created]]="No need",Combined[[#This Row],[Episode number from TVMaze]],""))</f>
        <v>S14E05</v>
      </c>
      <c r="L157" s="2" t="str">
        <f>CHAR(34)&amp;Combined[[#This Row],[Episode number from TVMaze]]&amp;CHAR(34)&amp;": "&amp;CHAR(34)&amp;Combined[[#This Row],[Correct TVDB episode number for getting image url]]&amp;CHAR(34)&amp;","</f>
        <v>"S14E05": "S14E05",</v>
      </c>
      <c r="M157" s="2" t="b">
        <f>Combined[[#This Row],[Correct TVDB episode number for getting image url]]=Combined[[#This Row],[Episode number from TVMaze]]</f>
        <v>1</v>
      </c>
      <c r="N157" s="2" t="str">
        <f>IF(Combined[[#This Row],[Have file]],IF(LEN(Combined[[#This Row],[Correct TVDB episode number for getting image url]])=0,"Find correct episode number for TheTVDB",""),"Find episode on the internet")</f>
        <v/>
      </c>
    </row>
    <row r="158" spans="1:14" x14ac:dyDescent="0.25">
      <c r="A158" t="str">
        <f>TVMaze[[#This Row],[Episode number]]</f>
        <v>S14E06</v>
      </c>
      <c r="B158" t="b">
        <f>IF(ISNUMBER(MATCH(Combined[Episode number from TVMaze],Files[Episode number],0)),TRUE,FALSE)</f>
        <v>1</v>
      </c>
      <c r="C158" t="str">
        <f>TVMaze[[#This Row],[Name]]</f>
        <v>Norfolk: The Periscope House</v>
      </c>
      <c r="D158" t="str">
        <f>VLOOKUP(Combined[[#This Row],[Episode number from TVMaze]],TVDB[],2,FALSE)</f>
        <v>Norfolk: The Periscope House</v>
      </c>
      <c r="E158" s="2" t="b">
        <f>_xlfn.IFNA(Combined[[#This Row],[Name from TVMaze]]=Combined[[#This Row],[Name from TVDB]],FALSE)</f>
        <v>1</v>
      </c>
      <c r="F158" s="2"/>
      <c r="G158" s="3">
        <f>VLOOKUP(Combined[[#This Row],[Episode number from TVMaze]],TVMazePython[],3,FALSE)</f>
        <v>41920</v>
      </c>
      <c r="H158" s="2" t="str">
        <f>VLOOKUP(Combined[[#This Row],[Episode number from TVMaze]],TVMazePython[],4,FALSE)</f>
        <v>Natasha Cargill wants to build a home shaped like two enormous periscopes in rural Norfolk, but to obtain planning permission, she has to ensure not only that the materials are sustainable, but also agree to measure the transportation used to deliver them. If these strict criteria are not met, she won't be allowed to live there, and to add to the pressure, she has just £330,000 to spend on construction and six months to complete the project</v>
      </c>
      <c r="I158" s="2" t="str">
        <f>VLOOKUP(Combined[[#This Row],[Episode number from TVMaze]],Files[],3,FALSE)</f>
        <v>/home/ziga/share/Series/Other/0 Home and Gardening/Grand Designs/Season 14/Grand Designs - S14E06 - Norfolk - Periscope House.mkv</v>
      </c>
      <c r="J158" s="2" t="str">
        <f>CHAR(34)&amp;Combined[[#This Row],[Episode number from TVMaze]]&amp;CHAR(34)&amp;": "&amp;CHAR(34)&amp;Combined[[#This Row],[Path]]&amp;CHAR(34)&amp;","</f>
        <v>"S14E06": "/home/ziga/share/Series/Other/0 Home and Gardening/Grand Designs/Season 14/Grand Designs - S14E06 - Norfolk - Periscope House.mkv",</v>
      </c>
      <c r="K158" s="2" t="str">
        <f>IF(Combined[[#This Row],[Is name same]],Combined[[#This Row],[Episode number from TVMaze]],IF(Combined[[#This Row],[NFO created]]="No need",Combined[[#This Row],[Episode number from TVMaze]],""))</f>
        <v>S14E06</v>
      </c>
      <c r="L158" s="2" t="str">
        <f>CHAR(34)&amp;Combined[[#This Row],[Episode number from TVMaze]]&amp;CHAR(34)&amp;": "&amp;CHAR(34)&amp;Combined[[#This Row],[Correct TVDB episode number for getting image url]]&amp;CHAR(34)&amp;","</f>
        <v>"S14E06": "S14E06",</v>
      </c>
      <c r="M158" s="2" t="b">
        <f>Combined[[#This Row],[Correct TVDB episode number for getting image url]]=Combined[[#This Row],[Episode number from TVMaze]]</f>
        <v>1</v>
      </c>
      <c r="N158" s="2" t="str">
        <f>IF(Combined[[#This Row],[Have file]],IF(LEN(Combined[[#This Row],[Correct TVDB episode number for getting image url]])=0,"Find correct episode number for TheTVDB",""),"Find episode on the internet")</f>
        <v/>
      </c>
    </row>
    <row r="159" spans="1:14" x14ac:dyDescent="0.25">
      <c r="A159" t="str">
        <f>TVMaze[[#This Row],[Episode number]]</f>
        <v>S14E07</v>
      </c>
      <c r="B159" t="b">
        <f>IF(ISNUMBER(MATCH(Combined[Episode number from TVMaze],Files[Episode number],0)),TRUE,FALSE)</f>
        <v>1</v>
      </c>
      <c r="C159" t="str">
        <f>TVMaze[[#This Row],[Name]]</f>
        <v>Marlow: The Floating House</v>
      </c>
      <c r="D159" t="str">
        <f>VLOOKUP(Combined[[#This Row],[Episode number from TVMaze]],TVDB[],2,FALSE)</f>
        <v>Marlow: The Floating House</v>
      </c>
      <c r="E159" s="2" t="b">
        <f>_xlfn.IFNA(Combined[[#This Row],[Name from TVMaze]]=Combined[[#This Row],[Name from TVDB]],FALSE)</f>
        <v>1</v>
      </c>
      <c r="F159" s="2"/>
      <c r="G159" s="3">
        <f>VLOOKUP(Combined[[#This Row],[Episode number from TVMaze]],TVMazePython[],3,FALSE)</f>
        <v>41927</v>
      </c>
      <c r="H159" s="2" t="str">
        <f>VLOOKUP(Combined[[#This Row],[Episode number from TVMaze]],TVMazePython[],4,FALSE)</f>
        <v>Kevin McCloud follows software executive Andy Bruce and garden designer Nicki Bruce, who are planning to build a "floating" house on the River Thames, which would be the first of its kind in the UK. Their architect has come up with an ambitious, experimental design that would see the whole property magically rise up with the flood waters. However, no one knows whether it will work, and the project soon becomes bogged down in the logistical challenges of bringing to fruition such a complex structure on a small island that is only accessible by a narrow footbridge.</v>
      </c>
      <c r="I159" s="2" t="str">
        <f>VLOOKUP(Combined[[#This Row],[Episode number from TVMaze]],Files[],3,FALSE)</f>
        <v>/home/ziga/share/Series/Other/0 Home and Gardening/Grand Designs/Season 14/Grand Designs - S14E07 - River Thames - Floating House.mkv</v>
      </c>
      <c r="J159" s="2" t="str">
        <f>CHAR(34)&amp;Combined[[#This Row],[Episode number from TVMaze]]&amp;CHAR(34)&amp;": "&amp;CHAR(34)&amp;Combined[[#This Row],[Path]]&amp;CHAR(34)&amp;","</f>
        <v>"S14E07": "/home/ziga/share/Series/Other/0 Home and Gardening/Grand Designs/Season 14/Grand Designs - S14E07 - River Thames - Floating House.mkv",</v>
      </c>
      <c r="K159" s="2" t="str">
        <f>IF(Combined[[#This Row],[Is name same]],Combined[[#This Row],[Episode number from TVMaze]],IF(Combined[[#This Row],[NFO created]]="No need",Combined[[#This Row],[Episode number from TVMaze]],""))</f>
        <v>S14E07</v>
      </c>
      <c r="L159" s="2" t="str">
        <f>CHAR(34)&amp;Combined[[#This Row],[Episode number from TVMaze]]&amp;CHAR(34)&amp;": "&amp;CHAR(34)&amp;Combined[[#This Row],[Correct TVDB episode number for getting image url]]&amp;CHAR(34)&amp;","</f>
        <v>"S14E07": "S14E07",</v>
      </c>
      <c r="M159" s="2" t="b">
        <f>Combined[[#This Row],[Correct TVDB episode number for getting image url]]=Combined[[#This Row],[Episode number from TVMaze]]</f>
        <v>1</v>
      </c>
      <c r="N159" s="2" t="str">
        <f>IF(Combined[[#This Row],[Have file]],IF(LEN(Combined[[#This Row],[Correct TVDB episode number for getting image url]])=0,"Find correct episode number for TheTVDB",""),"Find episode on the internet")</f>
        <v/>
      </c>
    </row>
    <row r="160" spans="1:14" x14ac:dyDescent="0.25">
      <c r="A160" t="str">
        <f>TVMaze[[#This Row],[Episode number]]</f>
        <v>S14E08</v>
      </c>
      <c r="B160" t="b">
        <f>IF(ISNUMBER(MATCH(Combined[Episode number from TVMaze],Files[Episode number],0)),TRUE,FALSE)</f>
        <v>1</v>
      </c>
      <c r="C160" t="str">
        <f>TVMaze[[#This Row],[Name]]</f>
        <v>Revisited - Creuse, France: The 19th Century Manor House</v>
      </c>
      <c r="D160" t="str">
        <f>VLOOKUP(Combined[[#This Row],[Episode number from TVMaze]],TVDB[],2,FALSE)</f>
        <v>Revisited - Creuse, France: The 19th Century Manor House</v>
      </c>
      <c r="E160" s="2" t="b">
        <f>_xlfn.IFNA(Combined[[#This Row],[Name from TVMaze]]=Combined[[#This Row],[Name from TVDB]],FALSE)</f>
        <v>1</v>
      </c>
      <c r="F160" s="2"/>
      <c r="G160" s="3">
        <f>VLOOKUP(Combined[[#This Row],[Episode number from TVMaze]],TVMazePython[],3,FALSE)</f>
        <v>41934</v>
      </c>
      <c r="H160" s="2" t="str">
        <f>VLOOKUP(Combined[[#This Row],[Episode number from TVMaze]],TVMazePython[],4,FALSE)</f>
        <v>Kevin McCloud revisits a memorable restoration project in the remote Creuse region of central France. Back in 2003, when Denise Daniel and Doug Ibbs gave up everything in the UK to start a new life abroad, they couldn't have known what was ahead of them. Falling in love with a dilapidated manor house with just four crumbling walls and half a roof, they embarked on a mission to transform it - working day and night, doing everything themselves, year after year - until slowly but surely they created a magnificent edifice out of the ruins they bought off the internet. It's now the 70th anniversary of the destruction of the original 19th-century building by the German army - and the house is finally finished.</v>
      </c>
      <c r="I160" s="2" t="str">
        <f>VLOOKUP(Combined[[#This Row],[Episode number from TVMaze]],Files[],3,FALSE)</f>
        <v>/home/ziga/share/Series/Other/0 Home and Gardening/Grand Designs/Season 14/Grand Designs - S14E08 - Revisited - Creuse France - 19th Century Manor House.mkv</v>
      </c>
      <c r="J160" s="2" t="str">
        <f>CHAR(34)&amp;Combined[[#This Row],[Episode number from TVMaze]]&amp;CHAR(34)&amp;": "&amp;CHAR(34)&amp;Combined[[#This Row],[Path]]&amp;CHAR(34)&amp;","</f>
        <v>"S14E08": "/home/ziga/share/Series/Other/0 Home and Gardening/Grand Designs/Season 14/Grand Designs - S14E08 - Revisited - Creuse France - 19th Century Manor House.mkv",</v>
      </c>
      <c r="K160" s="2" t="str">
        <f>IF(Combined[[#This Row],[Is name same]],Combined[[#This Row],[Episode number from TVMaze]],IF(Combined[[#This Row],[NFO created]]="No need",Combined[[#This Row],[Episode number from TVMaze]],""))</f>
        <v>S14E08</v>
      </c>
      <c r="L160" s="2" t="str">
        <f>CHAR(34)&amp;Combined[[#This Row],[Episode number from TVMaze]]&amp;CHAR(34)&amp;": "&amp;CHAR(34)&amp;Combined[[#This Row],[Correct TVDB episode number for getting image url]]&amp;CHAR(34)&amp;","</f>
        <v>"S14E08": "S14E08",</v>
      </c>
      <c r="M160" s="2" t="b">
        <f>Combined[[#This Row],[Correct TVDB episode number for getting image url]]=Combined[[#This Row],[Episode number from TVMaze]]</f>
        <v>1</v>
      </c>
      <c r="N160" s="2" t="str">
        <f>IF(Combined[[#This Row],[Have file]],IF(LEN(Combined[[#This Row],[Correct TVDB episode number for getting image url]])=0,"Find correct episode number for TheTVDB",""),"Find episode on the internet")</f>
        <v/>
      </c>
    </row>
    <row r="161" spans="1:14" x14ac:dyDescent="0.25">
      <c r="A161" t="str">
        <f>TVMaze[[#This Row],[Episode number]]</f>
        <v>S14E09</v>
      </c>
      <c r="B161" t="b">
        <f>IF(ISNUMBER(MATCH(Combined[Episode number from TVMaze],Files[Episode number],0)),TRUE,FALSE)</f>
        <v>1</v>
      </c>
      <c r="C161" t="str">
        <f>TVMaze[[#This Row],[Name]]</f>
        <v>Revisited - Monmouthshire: The Japanese House</v>
      </c>
      <c r="D161" t="str">
        <f>VLOOKUP(Combined[[#This Row],[Episode number from TVMaze]],TVDB[],2,FALSE)</f>
        <v>Revisited - Monmouthshire: The Japanese House</v>
      </c>
      <c r="E161" s="2" t="b">
        <f>_xlfn.IFNA(Combined[[#This Row],[Name from TVMaze]]=Combined[[#This Row],[Name from TVDB]],FALSE)</f>
        <v>1</v>
      </c>
      <c r="F161" s="2"/>
      <c r="G161" s="3">
        <f>VLOOKUP(Combined[[#This Row],[Episode number from TVMaze]],TVMazePython[],3,FALSE)</f>
        <v>41941</v>
      </c>
      <c r="H161" s="2" t="str">
        <f>VLOOKUP(Combined[[#This Row],[Episode number from TVMaze]],TVMazePython[],4,FALSE)</f>
        <v>Kevin McCloud revisits a unique Japanese-Welsh fusion home in the Wye Valley, completely transformed from a damp old forester's house in 2013. Tamayo Hussey has missed Japan ever since she moved to the UK 15 years ago with her husband Nigel. To stave off the homesickness they decided to turn the property into a one-of-a-kind home, complete with roof bath, tatami room and sliding paper walls. Kevin finds out how this somewhat improvised building weathered one of the wettest winters on record and if it has brought the calm and tranquillity Tamayo remembers from her childhood in the Far East.</v>
      </c>
      <c r="I161" s="2" t="str">
        <f>VLOOKUP(Combined[[#This Row],[Episode number from TVMaze]],Files[],3,FALSE)</f>
        <v>/home/ziga/share/Series/Other/0 Home and Gardening/Grand Designs/Season 14/Grand Designs - S14E09 - Revisited - Monmouthshire - Japanese House.mkv</v>
      </c>
      <c r="J161" s="2" t="str">
        <f>CHAR(34)&amp;Combined[[#This Row],[Episode number from TVMaze]]&amp;CHAR(34)&amp;": "&amp;CHAR(34)&amp;Combined[[#This Row],[Path]]&amp;CHAR(34)&amp;","</f>
        <v>"S14E09": "/home/ziga/share/Series/Other/0 Home and Gardening/Grand Designs/Season 14/Grand Designs - S14E09 - Revisited - Monmouthshire - Japanese House.mkv",</v>
      </c>
      <c r="K161" s="2" t="str">
        <f>IF(Combined[[#This Row],[Is name same]],Combined[[#This Row],[Episode number from TVMaze]],IF(Combined[[#This Row],[NFO created]]="No need",Combined[[#This Row],[Episode number from TVMaze]],""))</f>
        <v>S14E09</v>
      </c>
      <c r="L161" s="2" t="str">
        <f>CHAR(34)&amp;Combined[[#This Row],[Episode number from TVMaze]]&amp;CHAR(34)&amp;": "&amp;CHAR(34)&amp;Combined[[#This Row],[Correct TVDB episode number for getting image url]]&amp;CHAR(34)&amp;","</f>
        <v>"S14E09": "S14E09",</v>
      </c>
      <c r="M161" s="2" t="b">
        <f>Combined[[#This Row],[Correct TVDB episode number for getting image url]]=Combined[[#This Row],[Episode number from TVMaze]]</f>
        <v>1</v>
      </c>
      <c r="N161" s="2" t="str">
        <f>IF(Combined[[#This Row],[Have file]],IF(LEN(Combined[[#This Row],[Correct TVDB episode number for getting image url]])=0,"Find correct episode number for TheTVDB",""),"Find episode on the internet")</f>
        <v/>
      </c>
    </row>
    <row r="162" spans="1:14" x14ac:dyDescent="0.25">
      <c r="A162" t="str">
        <f>TVMaze[[#This Row],[Episode number]]</f>
        <v>S14E10</v>
      </c>
      <c r="B162" t="b">
        <f>IF(ISNUMBER(MATCH(Combined[Episode number from TVMaze],Files[Episode number],0)),TRUE,FALSE)</f>
        <v>1</v>
      </c>
      <c r="C162" t="str">
        <f>TVMaze[[#This Row],[Name]]</f>
        <v>Revisited - Devon: The Crooked Chocolate Box Cottage</v>
      </c>
      <c r="D162" t="str">
        <f>VLOOKUP(Combined[[#This Row],[Episode number from TVMaze]],TVDB[],2,FALSE)</f>
        <v>Revisited - Devon: The Crooked Chocolate Box Cottage</v>
      </c>
      <c r="E162" s="2" t="b">
        <f>_xlfn.IFNA(Combined[[#This Row],[Name from TVMaze]]=Combined[[#This Row],[Name from TVDB]],FALSE)</f>
        <v>1</v>
      </c>
      <c r="F162" s="2"/>
      <c r="G162" s="3">
        <f>VLOOKUP(Combined[[#This Row],[Episode number from TVMaze]],TVMazePython[],3,FALSE)</f>
        <v>41948</v>
      </c>
      <c r="H162" s="2" t="str">
        <f>VLOOKUP(Combined[[#This Row],[Episode number from TVMaze]],TVMazePython[],4,FALSE)</f>
        <v>Kevin McCloud returns to Devon for an update on an inspirational build. Royal Marine Captain Jon White and his wife Becky were living happily in a small cottage when in June 2010, while serving in Afghanistan, Jon stepped on an improvised explosive device, losing three limbs. Every part of their lives had to change - starting with where they could live. Their architect came up with a cutting-edge, semi open-plan building with a dramatic wing-like-roof - and crucially no obvious signs of adaptations for Jon's disabilities. Has the new home proved as enabling for the couple and their expanding family as they had hoped?</v>
      </c>
      <c r="I162" s="2" t="str">
        <f>VLOOKUP(Combined[[#This Row],[Episode number from TVMaze]],Files[],3,FALSE)</f>
        <v>/home/ziga/share/Series/Other/0 Home and Gardening/Grand Designs/Season 14/Grand Designs - S14E10 - Revisited - Tiverton - Crooked Chocolate Box Cottage.mkv</v>
      </c>
      <c r="J162" s="2" t="str">
        <f>CHAR(34)&amp;Combined[[#This Row],[Episode number from TVMaze]]&amp;CHAR(34)&amp;": "&amp;CHAR(34)&amp;Combined[[#This Row],[Path]]&amp;CHAR(34)&amp;","</f>
        <v>"S14E10": "/home/ziga/share/Series/Other/0 Home and Gardening/Grand Designs/Season 14/Grand Designs - S14E10 - Revisited - Tiverton - Crooked Chocolate Box Cottage.mkv",</v>
      </c>
      <c r="K162" s="2" t="str">
        <f>IF(Combined[[#This Row],[Is name same]],Combined[[#This Row],[Episode number from TVMaze]],IF(Combined[[#This Row],[NFO created]]="No need",Combined[[#This Row],[Episode number from TVMaze]],""))</f>
        <v>S14E10</v>
      </c>
      <c r="L162" s="2" t="str">
        <f>CHAR(34)&amp;Combined[[#This Row],[Episode number from TVMaze]]&amp;CHAR(34)&amp;": "&amp;CHAR(34)&amp;Combined[[#This Row],[Correct TVDB episode number for getting image url]]&amp;CHAR(34)&amp;","</f>
        <v>"S14E10": "S14E10",</v>
      </c>
      <c r="M162" s="2" t="b">
        <f>Combined[[#This Row],[Correct TVDB episode number for getting image url]]=Combined[[#This Row],[Episode number from TVMaze]]</f>
        <v>1</v>
      </c>
      <c r="N162" s="2" t="str">
        <f>IF(Combined[[#This Row],[Have file]],IF(LEN(Combined[[#This Row],[Correct TVDB episode number for getting image url]])=0,"Find correct episode number for TheTVDB",""),"Find episode on the internet")</f>
        <v/>
      </c>
    </row>
    <row r="163" spans="1:14" x14ac:dyDescent="0.25">
      <c r="A163" t="str">
        <f>TVMaze[[#This Row],[Episode number]]</f>
        <v>S15E01</v>
      </c>
      <c r="B163" t="b">
        <f>IF(ISNUMBER(MATCH(Combined[Episode number from TVMaze],Files[Episode number],0)),TRUE,FALSE)</f>
        <v>1</v>
      </c>
      <c r="C163" t="str">
        <f>TVMaze[[#This Row],[Name]]</f>
        <v>Living in the City</v>
      </c>
      <c r="D163" t="str">
        <f>VLOOKUP(Combined[[#This Row],[Episode number from TVMaze]],TVDB[],2,FALSE)</f>
        <v>Living in the City</v>
      </c>
      <c r="E163" s="2" t="b">
        <f>_xlfn.IFNA(Combined[[#This Row],[Name from TVMaze]]=Combined[[#This Row],[Name from TVDB]],FALSE)</f>
        <v>1</v>
      </c>
      <c r="F163" s="2"/>
      <c r="G163" s="3">
        <f>VLOOKUP(Combined[[#This Row],[Episode number from TVMaze]],TVMazePython[],3,FALSE)</f>
        <v>42194</v>
      </c>
      <c r="H163" s="2" t="str">
        <f>VLOOKUP(Combined[[#This Row],[Episode number from TVMaze]],TVMazePython[],4,FALSE)</f>
        <v>Kevin McCloud presents the first of four special programmes inspired by 15 years of Grand Designs. He begins with a look at the challenges of self-building in the city, where space is at a premium and architects have to be at their most ingenious. Kevin uses footage from the best urban builds from the show over the years, meets pioneers at the forefront of the latest architectural thinking and looks at clever innovations that continue to transform people's lives to reveal which designs work best and why.</v>
      </c>
      <c r="I163" s="2" t="str">
        <f>VLOOKUP(Combined[[#This Row],[Episode number from TVMaze]],Files[],3,FALSE)</f>
        <v>/home/ziga/share/Series/Other/0 Home and Gardening/Grand Designs/Season 15/Grand Designs - S15E01 - Living in the City.mkv</v>
      </c>
      <c r="J163" s="2" t="str">
        <f>CHAR(34)&amp;Combined[[#This Row],[Episode number from TVMaze]]&amp;CHAR(34)&amp;": "&amp;CHAR(34)&amp;Combined[[#This Row],[Path]]&amp;CHAR(34)&amp;","</f>
        <v>"S15E01": "/home/ziga/share/Series/Other/0 Home and Gardening/Grand Designs/Season 15/Grand Designs - S15E01 - Living in the City.mkv",</v>
      </c>
      <c r="K163" s="2" t="str">
        <f>IF(Combined[[#This Row],[Is name same]],Combined[[#This Row],[Episode number from TVMaze]],IF(Combined[[#This Row],[NFO created]]="No need",Combined[[#This Row],[Episode number from TVMaze]],""))</f>
        <v>S15E01</v>
      </c>
      <c r="L163" s="2" t="str">
        <f>CHAR(34)&amp;Combined[[#This Row],[Episode number from TVMaze]]&amp;CHAR(34)&amp;": "&amp;CHAR(34)&amp;Combined[[#This Row],[Correct TVDB episode number for getting image url]]&amp;CHAR(34)&amp;","</f>
        <v>"S15E01": "S15E01",</v>
      </c>
      <c r="M163" s="2" t="b">
        <f>Combined[[#This Row],[Correct TVDB episode number for getting image url]]=Combined[[#This Row],[Episode number from TVMaze]]</f>
        <v>1</v>
      </c>
      <c r="N163" s="2" t="str">
        <f>IF(Combined[[#This Row],[Have file]],IF(LEN(Combined[[#This Row],[Correct TVDB episode number for getting image url]])=0,"Find correct episode number for TheTVDB",""),"Find episode on the internet")</f>
        <v/>
      </c>
    </row>
    <row r="164" spans="1:14" x14ac:dyDescent="0.25">
      <c r="A164" t="str">
        <f>TVMaze[[#This Row],[Episode number]]</f>
        <v>S15E02</v>
      </c>
      <c r="B164" t="b">
        <f>IF(ISNUMBER(MATCH(Combined[Episode number from TVMaze],Files[Episode number],0)),TRUE,FALSE)</f>
        <v>1</v>
      </c>
      <c r="C164" t="str">
        <f>TVMaze[[#This Row],[Name]]</f>
        <v>Living in the Wild</v>
      </c>
      <c r="D164" t="str">
        <f>VLOOKUP(Combined[[#This Row],[Episode number from TVMaze]],TVDB[],2,FALSE)</f>
        <v>Living in the Wild</v>
      </c>
      <c r="E164" s="2" t="b">
        <f>_xlfn.IFNA(Combined[[#This Row],[Name from TVMaze]]=Combined[[#This Row],[Name from TVDB]],FALSE)</f>
        <v>1</v>
      </c>
      <c r="F164" s="2"/>
      <c r="G164" s="3">
        <f>VLOOKUP(Combined[[#This Row],[Episode number from TVMaze]],TVMazePython[],3,FALSE)</f>
        <v>42201</v>
      </c>
      <c r="H164" s="2" t="str">
        <f>VLOOKUP(Combined[[#This Row],[Episode number from TVMaze]],TVMazePython[],4,FALSE)</f>
        <v>In the second of four special programmes, Kevin McCloud looks at the challenges of self-building in the UK's most remote places, where beautiful landscapes often meet savage weather. Drawing on footage from 15 years of the programme, as well as new visits to extraordinary and incredible homes, Kevin reveals which designs work best, and why. Along the way, he interviews pioneers at the forefront of architecture in the wilderness and sees the astonishing lengths people go to live on the edges of society.</v>
      </c>
      <c r="I164" s="2" t="str">
        <f>VLOOKUP(Combined[[#This Row],[Episode number from TVMaze]],Files[],3,FALSE)</f>
        <v>/home/ziga/share/Series/Other/0 Home and Gardening/Grand Designs/Season 15/Grand Designs - S15E02 - Living in the Wild.mkv</v>
      </c>
      <c r="J164" s="2" t="str">
        <f>CHAR(34)&amp;Combined[[#This Row],[Episode number from TVMaze]]&amp;CHAR(34)&amp;": "&amp;CHAR(34)&amp;Combined[[#This Row],[Path]]&amp;CHAR(34)&amp;","</f>
        <v>"S15E02": "/home/ziga/share/Series/Other/0 Home and Gardening/Grand Designs/Season 15/Grand Designs - S15E02 - Living in the Wild.mkv",</v>
      </c>
      <c r="K164" s="2" t="str">
        <f>IF(Combined[[#This Row],[Is name same]],Combined[[#This Row],[Episode number from TVMaze]],IF(Combined[[#This Row],[NFO created]]="No need",Combined[[#This Row],[Episode number from TVMaze]],""))</f>
        <v>S15E02</v>
      </c>
      <c r="L164" s="2" t="str">
        <f>CHAR(34)&amp;Combined[[#This Row],[Episode number from TVMaze]]&amp;CHAR(34)&amp;": "&amp;CHAR(34)&amp;Combined[[#This Row],[Correct TVDB episode number for getting image url]]&amp;CHAR(34)&amp;","</f>
        <v>"S15E02": "S15E02",</v>
      </c>
      <c r="M164" s="2" t="b">
        <f>Combined[[#This Row],[Correct TVDB episode number for getting image url]]=Combined[[#This Row],[Episode number from TVMaze]]</f>
        <v>1</v>
      </c>
      <c r="N164" s="2" t="str">
        <f>IF(Combined[[#This Row],[Have file]],IF(LEN(Combined[[#This Row],[Correct TVDB episode number for getting image url]])=0,"Find correct episode number for TheTVDB",""),"Find episode on the internet")</f>
        <v/>
      </c>
    </row>
    <row r="165" spans="1:14" x14ac:dyDescent="0.25">
      <c r="A165" t="str">
        <f>TVMaze[[#This Row],[Episode number]]</f>
        <v>S15E03</v>
      </c>
      <c r="B165" t="b">
        <f>IF(ISNUMBER(MATCH(Combined[Episode number from TVMaze],Files[Episode number],0)),TRUE,FALSE)</f>
        <v>1</v>
      </c>
      <c r="C165" t="str">
        <f>TVMaze[[#This Row],[Name]]</f>
        <v>Living in Suburbia</v>
      </c>
      <c r="D165" t="str">
        <f>VLOOKUP(Combined[[#This Row],[Episode number from TVMaze]],TVDB[],2,FALSE)</f>
        <v>Living in Suburbia</v>
      </c>
      <c r="E165" s="2" t="b">
        <f>_xlfn.IFNA(Combined[[#This Row],[Name from TVMaze]]=Combined[[#This Row],[Name from TVDB]],FALSE)</f>
        <v>1</v>
      </c>
      <c r="F165" s="2"/>
      <c r="G165" s="3">
        <f>VLOOKUP(Combined[[#This Row],[Episode number from TVMaze]],TVMazePython[],3,FALSE)</f>
        <v>42208</v>
      </c>
      <c r="H165" s="2" t="str">
        <f>VLOOKUP(Combined[[#This Row],[Episode number from TVMaze]],TVMazePython[],4,FALSE)</f>
        <v>Kevin McCloud reveals how self-builders in the suburbs are transforming this most maligned of residential environments. He draws on some of the best examples from the 15-year history of Grand Designs, talks to experts in the latest architectural thinking and reveals the designs that have reinvented the suburbs as a place where home-owners really can have it all.</v>
      </c>
      <c r="I165" s="2" t="str">
        <f>VLOOKUP(Combined[[#This Row],[Episode number from TVMaze]],Files[],3,FALSE)</f>
        <v>/home/ziga/share/Series/Other/0 Home and Gardening/Grand Designs/Season 15/Grand Designs - S15E03 - Living in Suburbia.mkv</v>
      </c>
      <c r="J165" s="2" t="str">
        <f>CHAR(34)&amp;Combined[[#This Row],[Episode number from TVMaze]]&amp;CHAR(34)&amp;": "&amp;CHAR(34)&amp;Combined[[#This Row],[Path]]&amp;CHAR(34)&amp;","</f>
        <v>"S15E03": "/home/ziga/share/Series/Other/0 Home and Gardening/Grand Designs/Season 15/Grand Designs - S15E03 - Living in Suburbia.mkv",</v>
      </c>
      <c r="K165" s="2" t="str">
        <f>IF(Combined[[#This Row],[Is name same]],Combined[[#This Row],[Episode number from TVMaze]],IF(Combined[[#This Row],[NFO created]]="No need",Combined[[#This Row],[Episode number from TVMaze]],""))</f>
        <v>S15E03</v>
      </c>
      <c r="L165" s="2" t="str">
        <f>CHAR(34)&amp;Combined[[#This Row],[Episode number from TVMaze]]&amp;CHAR(34)&amp;": "&amp;CHAR(34)&amp;Combined[[#This Row],[Correct TVDB episode number for getting image url]]&amp;CHAR(34)&amp;","</f>
        <v>"S15E03": "S15E03",</v>
      </c>
      <c r="M165" s="2" t="b">
        <f>Combined[[#This Row],[Correct TVDB episode number for getting image url]]=Combined[[#This Row],[Episode number from TVMaze]]</f>
        <v>1</v>
      </c>
      <c r="N165" s="2" t="str">
        <f>IF(Combined[[#This Row],[Have file]],IF(LEN(Combined[[#This Row],[Correct TVDB episode number for getting image url]])=0,"Find correct episode number for TheTVDB",""),"Find episode on the internet")</f>
        <v/>
      </c>
    </row>
    <row r="166" spans="1:14" x14ac:dyDescent="0.25">
      <c r="A166" t="str">
        <f>TVMaze[[#This Row],[Episode number]]</f>
        <v>S15E04</v>
      </c>
      <c r="B166" t="b">
        <f>IF(ISNUMBER(MATCH(Combined[Episode number from TVMaze],Files[Episode number],0)),TRUE,FALSE)</f>
        <v>1</v>
      </c>
      <c r="C166" t="str">
        <f>TVMaze[[#This Row],[Name]]</f>
        <v>Living in the Country</v>
      </c>
      <c r="D166" t="str">
        <f>VLOOKUP(Combined[[#This Row],[Episode number from TVMaze]],TVDB[],2,FALSE)</f>
        <v>Living in the Country</v>
      </c>
      <c r="E166" s="2" t="b">
        <f>_xlfn.IFNA(Combined[[#This Row],[Name from TVMaze]]=Combined[[#This Row],[Name from TVDB]],FALSE)</f>
        <v>1</v>
      </c>
      <c r="F166" s="2"/>
      <c r="G166" s="3">
        <f>VLOOKUP(Combined[[#This Row],[Episode number from TVMaze]],TVMazePython[],3,FALSE)</f>
        <v>42215</v>
      </c>
      <c r="H166" s="2" t="str">
        <f>VLOOKUP(Combined[[#This Row],[Episode number from TVMaze]],TVMazePython[],4,FALSE)</f>
        <v>Kevin McCloud looks at the challenges of self-building in the countryside, where design must embrace and enhance tradition, yet often overcome stringent planning constraints. Drawing on footage from the show's 15-year history, as well as new visits to extraordinary homes, he finds out how pioneers at the forefront of architecture are transforming agricultural and historic buildings, and bringing cutting-edge contemporary design to rural parts.</v>
      </c>
      <c r="I166" s="2" t="str">
        <f>VLOOKUP(Combined[[#This Row],[Episode number from TVMaze]],Files[],3,FALSE)</f>
        <v>/home/ziga/share/Series/Other/0 Home and Gardening/Grand Designs/Season 15/Grand Designs - S15E04 - Living in the Country.mkv</v>
      </c>
      <c r="J166" s="2" t="str">
        <f>CHAR(34)&amp;Combined[[#This Row],[Episode number from TVMaze]]&amp;CHAR(34)&amp;": "&amp;CHAR(34)&amp;Combined[[#This Row],[Path]]&amp;CHAR(34)&amp;","</f>
        <v>"S15E04": "/home/ziga/share/Series/Other/0 Home and Gardening/Grand Designs/Season 15/Grand Designs - S15E04 - Living in the Country.mkv",</v>
      </c>
      <c r="K166" s="2" t="str">
        <f>IF(Combined[[#This Row],[Is name same]],Combined[[#This Row],[Episode number from TVMaze]],IF(Combined[[#This Row],[NFO created]]="No need",Combined[[#This Row],[Episode number from TVMaze]],""))</f>
        <v>S15E04</v>
      </c>
      <c r="L166" s="2" t="str">
        <f>CHAR(34)&amp;Combined[[#This Row],[Episode number from TVMaze]]&amp;CHAR(34)&amp;": "&amp;CHAR(34)&amp;Combined[[#This Row],[Correct TVDB episode number for getting image url]]&amp;CHAR(34)&amp;","</f>
        <v>"S15E04": "S15E04",</v>
      </c>
      <c r="M166" s="2" t="b">
        <f>Combined[[#This Row],[Correct TVDB episode number for getting image url]]=Combined[[#This Row],[Episode number from TVMaze]]</f>
        <v>1</v>
      </c>
      <c r="N166" s="2" t="str">
        <f>IF(Combined[[#This Row],[Have file]],IF(LEN(Combined[[#This Row],[Correct TVDB episode number for getting image url]])=0,"Find correct episode number for TheTVDB",""),"Find episode on the internet")</f>
        <v/>
      </c>
    </row>
    <row r="167" spans="1:14" x14ac:dyDescent="0.25">
      <c r="A167" t="str">
        <f>TVMaze[[#This Row],[Episode number]]</f>
        <v>S16E01</v>
      </c>
      <c r="B167" t="b">
        <f>IF(ISNUMBER(MATCH(Combined[Episode number from TVMaze],Files[Episode number],0)),TRUE,FALSE)</f>
        <v>1</v>
      </c>
      <c r="C167" t="str">
        <f>TVMaze[[#This Row],[Name]]</f>
        <v>West Sussex: The Perfectionist's Bungalow</v>
      </c>
      <c r="D167" t="str">
        <f>VLOOKUP(Combined[[#This Row],[Episode number from TVMaze]],TVDB[],2,FALSE)</f>
        <v>West Sussex: The Perfectionist's Bungalow</v>
      </c>
      <c r="E167" s="2" t="b">
        <f>_xlfn.IFNA(Combined[[#This Row],[Name from TVMaze]]=Combined[[#This Row],[Name from TVDB]],FALSE)</f>
        <v>1</v>
      </c>
      <c r="F167" s="2"/>
      <c r="G167" s="3">
        <f>VLOOKUP(Combined[[#This Row],[Episode number from TVMaze]],TVMazePython[],3,FALSE)</f>
        <v>42256</v>
      </c>
      <c r="H167" s="2" t="str">
        <f>VLOOKUP(Combined[[#This Row],[Episode number from TVMaze]],TVMazePython[],4,FALSE)</f>
        <v>Kevin McCloud meets Clinton Dall from Sussex, a self-made businessman and father of four aiming to build one of the largest homes ever featured on the show. Dall wants the end project to be perfect - from the finish of his mirrored cruciform steel columns, to how the floor tiles line up with the dining room table, and is willing to spend whatever it takes to achieve his vision. However, the construction represents a huge risk, as down one road lies abject failure and financial ruin, while down the other, is the creation of something sublime and almost heroic.</v>
      </c>
      <c r="I167" s="2" t="str">
        <f>VLOOKUP(Combined[[#This Row],[Episode number from TVMaze]],Files[],3,FALSE)</f>
        <v>/home/ziga/share/Series/Other/0 Home and Gardening/Grand Designs/Season 16/Grand Designs - S16E01 - West Sussex - The Perfectionist's Bungalow.mkv</v>
      </c>
      <c r="J167" s="2" t="str">
        <f>CHAR(34)&amp;Combined[[#This Row],[Episode number from TVMaze]]&amp;CHAR(34)&amp;": "&amp;CHAR(34)&amp;Combined[[#This Row],[Path]]&amp;CHAR(34)&amp;","</f>
        <v>"S16E01": "/home/ziga/share/Series/Other/0 Home and Gardening/Grand Designs/Season 16/Grand Designs - S16E01 - West Sussex - The Perfectionist's Bungalow.mkv",</v>
      </c>
      <c r="K167" s="2" t="str">
        <f>IF(Combined[[#This Row],[Is name same]],Combined[[#This Row],[Episode number from TVMaze]],IF(Combined[[#This Row],[NFO created]]="No need",Combined[[#This Row],[Episode number from TVMaze]],""))</f>
        <v>S16E01</v>
      </c>
      <c r="L167" s="2" t="str">
        <f>CHAR(34)&amp;Combined[[#This Row],[Episode number from TVMaze]]&amp;CHAR(34)&amp;": "&amp;CHAR(34)&amp;Combined[[#This Row],[Correct TVDB episode number for getting image url]]&amp;CHAR(34)&amp;","</f>
        <v>"S16E01": "S16E01",</v>
      </c>
      <c r="M167" s="2" t="b">
        <f>Combined[[#This Row],[Correct TVDB episode number for getting image url]]=Combined[[#This Row],[Episode number from TVMaze]]</f>
        <v>1</v>
      </c>
      <c r="N167" s="2" t="str">
        <f>IF(Combined[[#This Row],[Have file]],IF(LEN(Combined[[#This Row],[Correct TVDB episode number for getting image url]])=0,"Find correct episode number for TheTVDB",""),"Find episode on the internet")</f>
        <v/>
      </c>
    </row>
    <row r="168" spans="1:14" x14ac:dyDescent="0.25">
      <c r="A168" t="str">
        <f>TVMaze[[#This Row],[Episode number]]</f>
        <v>S16E02</v>
      </c>
      <c r="B168" t="b">
        <f>IF(ISNUMBER(MATCH(Combined[Episode number from TVMaze],Files[Episode number],0)),TRUE,FALSE)</f>
        <v>1</v>
      </c>
      <c r="C168" t="str">
        <f>TVMaze[[#This Row],[Name]]</f>
        <v>East Sussex - The Boat House</v>
      </c>
      <c r="D168" t="str">
        <f>VLOOKUP(Combined[[#This Row],[Episode number from TVMaze]],TVDB[],2,FALSE)</f>
        <v>East Sussex: The Boat House</v>
      </c>
      <c r="E168" s="2" t="b">
        <f>_xlfn.IFNA(Combined[[#This Row],[Name from TVMaze]]=Combined[[#This Row],[Name from TVDB]],FALSE)</f>
        <v>0</v>
      </c>
      <c r="F168" s="2" t="s">
        <v>1316</v>
      </c>
      <c r="G168" s="3">
        <f>VLOOKUP(Combined[[#This Row],[Episode number from TVMaze]],TVMazePython[],3,FALSE)</f>
        <v>42263</v>
      </c>
      <c r="H168" s="2" t="str">
        <f>VLOOKUP(Combined[[#This Row],[Episode number from TVMaze]],TVMazePython[],4,FALSE)</f>
        <v>Boat enthusiast James Strangeways invites Kevin McCloud to survey progress on the construction of his new home, which his architect nephew Ben Hebblethwaite has designed to be as 'un-houselike' as possible. James has spent the past 35 years travelling the canals and waterways of Britain, and despite never liking houses, has decided now is the time to put down roots on dry land. Ben hoped a home standing on stilts above a marsh, and incorporating ship-like qualities such as a keel-shaped roof, will be enough to satisfy his boat-mad uncle. However, Ben's contractor goes into liquidation a few months into the project, taking £87,000 of the £300,000 budget, and when James decides to make a few tweaks to the design, alarm-bells begin to ring for the young architect.</v>
      </c>
      <c r="I168" s="2" t="str">
        <f>VLOOKUP(Combined[[#This Row],[Episode number from TVMaze]],Files[],3,FALSE)</f>
        <v>/home/ziga/share/Series/Other/0 Home and Gardening/Grand Designs/Season 16/Grand Designs - S16E02 - East Sussex - The Boat House.mkv</v>
      </c>
      <c r="J168" s="2" t="str">
        <f>CHAR(34)&amp;Combined[[#This Row],[Episode number from TVMaze]]&amp;CHAR(34)&amp;": "&amp;CHAR(34)&amp;Combined[[#This Row],[Path]]&amp;CHAR(34)&amp;","</f>
        <v>"S16E02": "/home/ziga/share/Series/Other/0 Home and Gardening/Grand Designs/Season 16/Grand Designs - S16E02 - East Sussex - The Boat House.mkv",</v>
      </c>
      <c r="K168" s="2" t="str">
        <f>IF(Combined[[#This Row],[Is name same]],Combined[[#This Row],[Episode number from TVMaze]],IF(Combined[[#This Row],[NFO created]]="No need",Combined[[#This Row],[Episode number from TVMaze]],""))</f>
        <v>S16E02</v>
      </c>
      <c r="L168" s="2" t="str">
        <f>CHAR(34)&amp;Combined[[#This Row],[Episode number from TVMaze]]&amp;CHAR(34)&amp;": "&amp;CHAR(34)&amp;Combined[[#This Row],[Correct TVDB episode number for getting image url]]&amp;CHAR(34)&amp;","</f>
        <v>"S16E02": "S16E02",</v>
      </c>
      <c r="M168" s="2" t="b">
        <f>Combined[[#This Row],[Correct TVDB episode number for getting image url]]=Combined[[#This Row],[Episode number from TVMaze]]</f>
        <v>1</v>
      </c>
      <c r="N168" s="2" t="str">
        <f>IF(Combined[[#This Row],[Have file]],IF(LEN(Combined[[#This Row],[Correct TVDB episode number for getting image url]])=0,"Find correct episode number for TheTVDB",""),"Find episode on the internet")</f>
        <v/>
      </c>
    </row>
    <row r="169" spans="1:14" x14ac:dyDescent="0.25">
      <c r="A169" t="str">
        <f>TVMaze[[#This Row],[Episode number]]</f>
        <v>S16E03</v>
      </c>
      <c r="B169" t="b">
        <f>IF(ISNUMBER(MATCH(Combined[Episode number from TVMaze],Files[Episode number],0)),TRUE,FALSE)</f>
        <v>1</v>
      </c>
      <c r="C169" t="str">
        <f>TVMaze[[#This Row],[Name]]</f>
        <v>Isle of Wight: The Seaside House</v>
      </c>
      <c r="D169" t="str">
        <f>VLOOKUP(Combined[[#This Row],[Episode number from TVMaze]],TVDB[],2,FALSE)</f>
        <v>Isle of Wight: The Seaside House</v>
      </c>
      <c r="E169" s="2" t="b">
        <f>_xlfn.IFNA(Combined[[#This Row],[Name from TVMaze]]=Combined[[#This Row],[Name from TVDB]],FALSE)</f>
        <v>1</v>
      </c>
      <c r="F169" s="2"/>
      <c r="G169" s="3">
        <f>VLOOKUP(Combined[[#This Row],[Episode number from TVMaze]],TVMazePython[],3,FALSE)</f>
        <v>42270</v>
      </c>
      <c r="H169" s="2" t="str">
        <f>VLOOKUP(Combined[[#This Row],[Episode number from TVMaze]],TVMazePython[],4,FALSE)</f>
        <v>After recovering from a life-threatening brain haemorrhage, Bram Vis, his wife Lisa and their two children want to build a house for sharing on a seaside plot on the Isle of Wight. Kevin McCloud follows the family's progress as they build an ambitious home complete with entertaining spaces and a swimming pool. However, the sheer scale of their project soon becomes clear when their original £850k budget spirals out of control.</v>
      </c>
      <c r="I169" s="2" t="str">
        <f>VLOOKUP(Combined[[#This Row],[Episode number from TVMaze]],Files[],3,FALSE)</f>
        <v>/home/ziga/share/Series/Other/0 Home and Gardening/Grand Designs/Season 16/Grand Designs - S16E03 - Solent - The Seaside House.mkv</v>
      </c>
      <c r="J169" s="2" t="str">
        <f>CHAR(34)&amp;Combined[[#This Row],[Episode number from TVMaze]]&amp;CHAR(34)&amp;": "&amp;CHAR(34)&amp;Combined[[#This Row],[Path]]&amp;CHAR(34)&amp;","</f>
        <v>"S16E03": "/home/ziga/share/Series/Other/0 Home and Gardening/Grand Designs/Season 16/Grand Designs - S16E03 - Solent - The Seaside House.mkv",</v>
      </c>
      <c r="K169" s="2" t="str">
        <f>IF(Combined[[#This Row],[Is name same]],Combined[[#This Row],[Episode number from TVMaze]],IF(Combined[[#This Row],[NFO created]]="No need",Combined[[#This Row],[Episode number from TVMaze]],""))</f>
        <v>S16E03</v>
      </c>
      <c r="L169" s="2" t="str">
        <f>CHAR(34)&amp;Combined[[#This Row],[Episode number from TVMaze]]&amp;CHAR(34)&amp;": "&amp;CHAR(34)&amp;Combined[[#This Row],[Correct TVDB episode number for getting image url]]&amp;CHAR(34)&amp;","</f>
        <v>"S16E03": "S16E03",</v>
      </c>
      <c r="M169" s="2" t="b">
        <f>Combined[[#This Row],[Correct TVDB episode number for getting image url]]=Combined[[#This Row],[Episode number from TVMaze]]</f>
        <v>1</v>
      </c>
      <c r="N169" s="2" t="str">
        <f>IF(Combined[[#This Row],[Have file]],IF(LEN(Combined[[#This Row],[Correct TVDB episode number for getting image url]])=0,"Find correct episode number for TheTVDB",""),"Find episode on the internet")</f>
        <v/>
      </c>
    </row>
    <row r="170" spans="1:14" x14ac:dyDescent="0.25">
      <c r="A170" t="str">
        <f>TVMaze[[#This Row],[Episode number]]</f>
        <v>S16E04</v>
      </c>
      <c r="B170" t="b">
        <f>IF(ISNUMBER(MATCH(Combined[Episode number from TVMaze],Files[Episode number],0)),TRUE,FALSE)</f>
        <v>1</v>
      </c>
      <c r="C170" t="str">
        <f>TVMaze[[#This Row],[Name]]</f>
        <v>Worcestershire: The Cave House</v>
      </c>
      <c r="D170" t="str">
        <f>VLOOKUP(Combined[[#This Row],[Episode number from TVMaze]],TVDB[],2,FALSE)</f>
        <v>Worcestershire: The Cave House</v>
      </c>
      <c r="E170" s="2" t="b">
        <f>_xlfn.IFNA(Combined[[#This Row],[Name from TVMaze]]=Combined[[#This Row],[Name from TVDB]],FALSE)</f>
        <v>1</v>
      </c>
      <c r="F170" s="2"/>
      <c r="G170" s="3">
        <f>VLOOKUP(Combined[[#This Row],[Episode number from TVMaze]],TVMazePython[],3,FALSE)</f>
        <v>42277</v>
      </c>
      <c r="H170" s="2" t="str">
        <f>VLOOKUP(Combined[[#This Row],[Episode number from TVMaze]],TVMazePython[],4,FALSE)</f>
        <v>Kevin McCloud follows the progress of 37-year-old Angelo Mastropietro, as he transforms a damp, dark and abandoned cave in Worcestershire. Having recently been diagnosed with multiple sclerosis, Angelo wants to create a retreat to help him cope with the news and become a 21st century caveman. He has a budget of £100,000 and plans to almost single-handedly carve, cut and drill into the hillside to make the cave comfortable for contemporary living. However, there is no manual for a project of this kind, and the unique challenge soon becomes an obsession.</v>
      </c>
      <c r="I170" s="2" t="str">
        <f>VLOOKUP(Combined[[#This Row],[Episode number from TVMaze]],Files[],3,FALSE)</f>
        <v>/home/ziga/share/Series/Other/0 Home and Gardening/Grand Designs/Season 16/Grand Designs - S16E04 - Wyre Forest - The Cave House.mkv</v>
      </c>
      <c r="J170" s="2" t="str">
        <f>CHAR(34)&amp;Combined[[#This Row],[Episode number from TVMaze]]&amp;CHAR(34)&amp;": "&amp;CHAR(34)&amp;Combined[[#This Row],[Path]]&amp;CHAR(34)&amp;","</f>
        <v>"S16E04": "/home/ziga/share/Series/Other/0 Home and Gardening/Grand Designs/Season 16/Grand Designs - S16E04 - Wyre Forest - The Cave House.mkv",</v>
      </c>
      <c r="K170" s="2" t="str">
        <f>IF(Combined[[#This Row],[Is name same]],Combined[[#This Row],[Episode number from TVMaze]],IF(Combined[[#This Row],[NFO created]]="No need",Combined[[#This Row],[Episode number from TVMaze]],""))</f>
        <v>S16E04</v>
      </c>
      <c r="L170" s="2" t="str">
        <f>CHAR(34)&amp;Combined[[#This Row],[Episode number from TVMaze]]&amp;CHAR(34)&amp;": "&amp;CHAR(34)&amp;Combined[[#This Row],[Correct TVDB episode number for getting image url]]&amp;CHAR(34)&amp;","</f>
        <v>"S16E04": "S16E04",</v>
      </c>
      <c r="M170" s="2" t="b">
        <f>Combined[[#This Row],[Correct TVDB episode number for getting image url]]=Combined[[#This Row],[Episode number from TVMaze]]</f>
        <v>1</v>
      </c>
      <c r="N170" s="2" t="str">
        <f>IF(Combined[[#This Row],[Have file]],IF(LEN(Combined[[#This Row],[Correct TVDB episode number for getting image url]])=0,"Find correct episode number for TheTVDB",""),"Find episode on the internet")</f>
        <v/>
      </c>
    </row>
    <row r="171" spans="1:14" x14ac:dyDescent="0.25">
      <c r="A171" t="str">
        <f>TVMaze[[#This Row],[Episode number]]</f>
        <v>S16E05</v>
      </c>
      <c r="B171" t="b">
        <f>IF(ISNUMBER(MATCH(Combined[Episode number from TVMaze],Files[Episode number],0)),TRUE,FALSE)</f>
        <v>1</v>
      </c>
      <c r="C171" t="str">
        <f>TVMaze[[#This Row],[Name]]</f>
        <v>County Antrim: The Blacksmith's House</v>
      </c>
      <c r="D171" t="str">
        <f>VLOOKUP(Combined[[#This Row],[Episode number from TVMaze]],TVDB[],2,FALSE)</f>
        <v>County Antrim: The Blacksmith's House</v>
      </c>
      <c r="E171" s="2" t="b">
        <f>_xlfn.IFNA(Combined[[#This Row],[Name from TVMaze]]=Combined[[#This Row],[Name from TVDB]],FALSE)</f>
        <v>1</v>
      </c>
      <c r="F171" s="2"/>
      <c r="G171" s="3">
        <f>VLOOKUP(Combined[[#This Row],[Episode number from TVMaze]],TVMazePython[],3,FALSE)</f>
        <v>42284</v>
      </c>
      <c r="H171" s="2" t="str">
        <f>VLOOKUP(Combined[[#This Row],[Episode number from TVMaze]],TVMazePython[],4,FALSE)</f>
        <v>Kevin McCloud follows the progress of teacher Michele Long and architect Michael Howe, who want to restore and transform a 100-year-old blacksmiths in County Antrim near Portrush,near the coast of Northern Ireland. With virtually no practical experience, Michael wants to do as much of the project as possible by himself. However, the weather on the coastline is fierce, and the freezing weather coupled with a tight budget of 150k means the build is stretched from one to three years.</v>
      </c>
      <c r="I171" s="2" t="str">
        <f>VLOOKUP(Combined[[#This Row],[Episode number from TVMaze]],Files[],3,FALSE)</f>
        <v>/home/ziga/share/Series/Other/0 Home and Gardening/Grand Designs/Season 16/Grand Designs - S16E05 - County Antrim - The Blacksmith's House.mkv</v>
      </c>
      <c r="J171" s="2" t="str">
        <f>CHAR(34)&amp;Combined[[#This Row],[Episode number from TVMaze]]&amp;CHAR(34)&amp;": "&amp;CHAR(34)&amp;Combined[[#This Row],[Path]]&amp;CHAR(34)&amp;","</f>
        <v>"S16E05": "/home/ziga/share/Series/Other/0 Home and Gardening/Grand Designs/Season 16/Grand Designs - S16E05 - County Antrim - The Blacksmith's House.mkv",</v>
      </c>
      <c r="K171" s="2" t="str">
        <f>IF(Combined[[#This Row],[Is name same]],Combined[[#This Row],[Episode number from TVMaze]],IF(Combined[[#This Row],[NFO created]]="No need",Combined[[#This Row],[Episode number from TVMaze]],""))</f>
        <v>S16E05</v>
      </c>
      <c r="L171" s="2" t="str">
        <f>CHAR(34)&amp;Combined[[#This Row],[Episode number from TVMaze]]&amp;CHAR(34)&amp;": "&amp;CHAR(34)&amp;Combined[[#This Row],[Correct TVDB episode number for getting image url]]&amp;CHAR(34)&amp;","</f>
        <v>"S16E05": "S16E05",</v>
      </c>
      <c r="M171" s="2" t="b">
        <f>Combined[[#This Row],[Correct TVDB episode number for getting image url]]=Combined[[#This Row],[Episode number from TVMaze]]</f>
        <v>1</v>
      </c>
      <c r="N171" s="2" t="str">
        <f>IF(Combined[[#This Row],[Have file]],IF(LEN(Combined[[#This Row],[Correct TVDB episode number for getting image url]])=0,"Find correct episode number for TheTVDB",""),"Find episode on the internet")</f>
        <v/>
      </c>
    </row>
    <row r="172" spans="1:14" x14ac:dyDescent="0.25">
      <c r="A172" t="str">
        <f>TVMaze[[#This Row],[Episode number]]</f>
        <v>S16E06</v>
      </c>
      <c r="B172" t="b">
        <f>IF(ISNUMBER(MATCH(Combined[Episode number from TVMaze],Files[Episode number],0)),TRUE,FALSE)</f>
        <v>1</v>
      </c>
      <c r="C172" t="str">
        <f>TVMaze[[#This Row],[Name]]</f>
        <v>Somerset: The Concrete Cowshed</v>
      </c>
      <c r="D172" t="str">
        <f>VLOOKUP(Combined[[#This Row],[Episode number from TVMaze]],TVDB[],2,FALSE)</f>
        <v>Somerset: The Concrete Cow-Shed</v>
      </c>
      <c r="E172" s="2" t="b">
        <f>_xlfn.IFNA(Combined[[#This Row],[Name from TVMaze]]=Combined[[#This Row],[Name from TVDB]],FALSE)</f>
        <v>0</v>
      </c>
      <c r="F172" s="2" t="s">
        <v>1316</v>
      </c>
      <c r="G172" s="3">
        <f>VLOOKUP(Combined[[#This Row],[Episode number from TVMaze]],TVMazePython[],3,FALSE)</f>
        <v>42291</v>
      </c>
      <c r="H172" s="2" t="str">
        <f>VLOOKUP(Combined[[#This Row],[Episode number from TVMaze]],TVMazePython[],4,FALSE)</f>
        <v>Kevin McCloud follows the progress of private chef Ed Versluys and Pilates instructor Vicky Anderson, who want to convert a concrete cow-shed in the Somerset countryside into a three bedroom home. With the help of one young builder and the knowledge they can learn from the Internet, the couple plan to project manage the conversion themselves. However, they have only seven months and a budget of just over £200,000 to make a warm and comfortable home with straw bale walls and wide expanses of glass.</v>
      </c>
      <c r="I172" s="2" t="str">
        <f>VLOOKUP(Combined[[#This Row],[Episode number from TVMaze]],Files[],3,FALSE)</f>
        <v>/home/ziga/share/Series/Other/0 Home and Gardening/Grand Designs/Season 16/Grand Designs - S16E06 - Somerset - The Concrete Cow-Shed.mkv</v>
      </c>
      <c r="J172" s="2" t="str">
        <f>CHAR(34)&amp;Combined[[#This Row],[Episode number from TVMaze]]&amp;CHAR(34)&amp;": "&amp;CHAR(34)&amp;Combined[[#This Row],[Path]]&amp;CHAR(34)&amp;","</f>
        <v>"S16E06": "/home/ziga/share/Series/Other/0 Home and Gardening/Grand Designs/Season 16/Grand Designs - S16E06 - Somerset - The Concrete Cow-Shed.mkv",</v>
      </c>
      <c r="K172" s="2" t="str">
        <f>IF(Combined[[#This Row],[Is name same]],Combined[[#This Row],[Episode number from TVMaze]],IF(Combined[[#This Row],[NFO created]]="No need",Combined[[#This Row],[Episode number from TVMaze]],""))</f>
        <v>S16E06</v>
      </c>
      <c r="L172" s="2" t="str">
        <f>CHAR(34)&amp;Combined[[#This Row],[Episode number from TVMaze]]&amp;CHAR(34)&amp;": "&amp;CHAR(34)&amp;Combined[[#This Row],[Correct TVDB episode number for getting image url]]&amp;CHAR(34)&amp;","</f>
        <v>"S16E06": "S16E06",</v>
      </c>
      <c r="M172" s="2" t="b">
        <f>Combined[[#This Row],[Correct TVDB episode number for getting image url]]=Combined[[#This Row],[Episode number from TVMaze]]</f>
        <v>1</v>
      </c>
      <c r="N172" s="2" t="str">
        <f>IF(Combined[[#This Row],[Have file]],IF(LEN(Combined[[#This Row],[Correct TVDB episode number for getting image url]])=0,"Find correct episode number for TheTVDB",""),"Find episode on the internet")</f>
        <v/>
      </c>
    </row>
    <row r="173" spans="1:14" x14ac:dyDescent="0.25">
      <c r="A173" t="str">
        <f>TVMaze[[#This Row],[Episode number]]</f>
        <v>S16E07</v>
      </c>
      <c r="B173" t="b">
        <f>IF(ISNUMBER(MATCH(Combined[Episode number from TVMaze],Files[Episode number],0)),TRUE,FALSE)</f>
        <v>1</v>
      </c>
      <c r="C173" t="str">
        <f>TVMaze[[#This Row],[Name]]</f>
        <v>Lewes: The Rusty Metal House</v>
      </c>
      <c r="D173" t="str">
        <f>VLOOKUP(Combined[[#This Row],[Episode number from TVMaze]],TVDB[],2,FALSE)</f>
        <v>Lewes: The Rusty Metal House</v>
      </c>
      <c r="E173" s="2" t="b">
        <f>_xlfn.IFNA(Combined[[#This Row],[Name from TVMaze]]=Combined[[#This Row],[Name from TVDB]],FALSE)</f>
        <v>1</v>
      </c>
      <c r="F173" s="2"/>
      <c r="G173" s="3">
        <f>VLOOKUP(Combined[[#This Row],[Episode number from TVMaze]],TVMazePython[],3,FALSE)</f>
        <v>42298</v>
      </c>
      <c r="H173" s="2" t="str">
        <f>VLOOKUP(Combined[[#This Row],[Episode number from TVMaze]],TVMazePython[],4,FALSE)</f>
        <v>Kevin McCloud follows the progress of Stephen Yeoman and Anita Findlay, who want to build a cutting-edge, post-industrial house covered in rusty metal. However, their prominent riverside plot in the traditional and architecturally conservative area of South Downs means everyone will be watching. The project proves to be a real rollercoaster when the fitting of the rusty steel cladding goes wrong, cash flow problems threaten to bring work to a halt, and the couple announce that a baby is on the way.</v>
      </c>
      <c r="I173" s="2" t="str">
        <f>VLOOKUP(Combined[[#This Row],[Episode number from TVMaze]],Files[],3,FALSE)</f>
        <v>/home/ziga/share/Series/Other/0 Home and Gardening/Grand Designs/Season 16/Grand Designs - S16E07 - South Downs - The Rusty Metal House.mkv</v>
      </c>
      <c r="J173" s="2" t="str">
        <f>CHAR(34)&amp;Combined[[#This Row],[Episode number from TVMaze]]&amp;CHAR(34)&amp;": "&amp;CHAR(34)&amp;Combined[[#This Row],[Path]]&amp;CHAR(34)&amp;","</f>
        <v>"S16E07": "/home/ziga/share/Series/Other/0 Home and Gardening/Grand Designs/Season 16/Grand Designs - S16E07 - South Downs - The Rusty Metal House.mkv",</v>
      </c>
      <c r="K173" s="2" t="str">
        <f>IF(Combined[[#This Row],[Is name same]],Combined[[#This Row],[Episode number from TVMaze]],IF(Combined[[#This Row],[NFO created]]="No need",Combined[[#This Row],[Episode number from TVMaze]],""))</f>
        <v>S16E07</v>
      </c>
      <c r="L173" s="2" t="str">
        <f>CHAR(34)&amp;Combined[[#This Row],[Episode number from TVMaze]]&amp;CHAR(34)&amp;": "&amp;CHAR(34)&amp;Combined[[#This Row],[Correct TVDB episode number for getting image url]]&amp;CHAR(34)&amp;","</f>
        <v>"S16E07": "S16E07",</v>
      </c>
      <c r="M173" s="2" t="b">
        <f>Combined[[#This Row],[Correct TVDB episode number for getting image url]]=Combined[[#This Row],[Episode number from TVMaze]]</f>
        <v>1</v>
      </c>
      <c r="N173" s="2" t="str">
        <f>IF(Combined[[#This Row],[Have file]],IF(LEN(Combined[[#This Row],[Correct TVDB episode number for getting image url]])=0,"Find correct episode number for TheTVDB",""),"Find episode on the internet")</f>
        <v/>
      </c>
    </row>
    <row r="174" spans="1:14" x14ac:dyDescent="0.25">
      <c r="A174" t="str">
        <f>TVMaze[[#This Row],[Episode number]]</f>
        <v>S16E08</v>
      </c>
      <c r="B174" t="b">
        <f>IF(ISNUMBER(MATCH(Combined[Episode number from TVMaze],Files[Episode number],0)),TRUE,FALSE)</f>
        <v>1</v>
      </c>
      <c r="C174" t="str">
        <f>TVMaze[[#This Row],[Name]]</f>
        <v>Revisited - Marlow: The Floating House</v>
      </c>
      <c r="D174" t="str">
        <f>VLOOKUP(Combined[[#This Row],[Episode number from TVMaze]],TVDB[],2,FALSE)</f>
        <v>Revisited - Marlow: The Floating House</v>
      </c>
      <c r="E174" s="2" t="b">
        <f>_xlfn.IFNA(Combined[[#This Row],[Name from TVMaze]]=Combined[[#This Row],[Name from TVDB]],FALSE)</f>
        <v>1</v>
      </c>
      <c r="F174" s="2"/>
      <c r="G174" s="3">
        <f>VLOOKUP(Combined[[#This Row],[Episode number from TVMaze]],TVMazePython[],3,FALSE)</f>
        <v>42305</v>
      </c>
      <c r="H174" s="2" t="str">
        <f>VLOOKUP(Combined[[#This Row],[Episode number from TVMaze]],TVMazePython[],4,FALSE)</f>
        <v>Kevin McCloud revisits Andy and Nicky Bruce who were building an experimental amphibious house on a small island on the Thames in Buckinghamshire. They spent £1.2 million on one of the most ambitious Grand Designs ever, but the logistical headache of building on an island only accessible by a narrow footbridge soon became clear. Heavy machinery was swept away by the river, contractors were changed, and the site was hit by severe storms, causing delays and resulting in an unfinished and untested building. Kevin returns to find out what living on a regularly flooded piece of land is like, and whether the floating home performed when the river burst its banks in January 2015.</v>
      </c>
      <c r="I174" s="2" t="str">
        <f>VLOOKUP(Combined[[#This Row],[Episode number from TVMaze]],Files[],3,FALSE)</f>
        <v>/home/ziga/share/Series/Other/0 Home and Gardening/Grand Designs/Season 16/Grand Designs - S16E08 - Revisited - River Thames - Floating House.mkv</v>
      </c>
      <c r="J174" s="2" t="str">
        <f>CHAR(34)&amp;Combined[[#This Row],[Episode number from TVMaze]]&amp;CHAR(34)&amp;": "&amp;CHAR(34)&amp;Combined[[#This Row],[Path]]&amp;CHAR(34)&amp;","</f>
        <v>"S16E08": "/home/ziga/share/Series/Other/0 Home and Gardening/Grand Designs/Season 16/Grand Designs - S16E08 - Revisited - River Thames - Floating House.mkv",</v>
      </c>
      <c r="K174" s="2" t="str">
        <f>IF(Combined[[#This Row],[Is name same]],Combined[[#This Row],[Episode number from TVMaze]],IF(Combined[[#This Row],[NFO created]]="No need",Combined[[#This Row],[Episode number from TVMaze]],""))</f>
        <v>S16E08</v>
      </c>
      <c r="L174" s="2" t="str">
        <f>CHAR(34)&amp;Combined[[#This Row],[Episode number from TVMaze]]&amp;CHAR(34)&amp;": "&amp;CHAR(34)&amp;Combined[[#This Row],[Correct TVDB episode number for getting image url]]&amp;CHAR(34)&amp;","</f>
        <v>"S16E08": "S16E08",</v>
      </c>
      <c r="M174" s="2" t="b">
        <f>Combined[[#This Row],[Correct TVDB episode number for getting image url]]=Combined[[#This Row],[Episode number from TVMaze]]</f>
        <v>1</v>
      </c>
      <c r="N174" s="2" t="str">
        <f>IF(Combined[[#This Row],[Have file]],IF(LEN(Combined[[#This Row],[Correct TVDB episode number for getting image url]])=0,"Find correct episode number for TheTVDB",""),"Find episode on the internet")</f>
        <v/>
      </c>
    </row>
    <row r="175" spans="1:14" x14ac:dyDescent="0.25">
      <c r="A175" t="str">
        <f>TVMaze[[#This Row],[Episode number]]</f>
        <v>S16E09</v>
      </c>
      <c r="B175" t="b">
        <f>IF(ISNUMBER(MATCH(Combined[Episode number from TVMaze],Files[Episode number],0)),TRUE,FALSE)</f>
        <v>1</v>
      </c>
      <c r="C175" t="str">
        <f>TVMaze[[#This Row],[Name]]</f>
        <v>Revisited - Cornwall: The Cross-Laminated Timber House</v>
      </c>
      <c r="D175" t="str">
        <f>VLOOKUP(Combined[[#This Row],[Episode number from TVMaze]],TVDB[],2,FALSE)</f>
        <v>Revisited - Cornwall: The Cross-Laminated Timber House</v>
      </c>
      <c r="E175" s="2" t="b">
        <f>_xlfn.IFNA(Combined[[#This Row],[Name from TVMaze]]=Combined[[#This Row],[Name from TVDB]],FALSE)</f>
        <v>1</v>
      </c>
      <c r="F175" s="2"/>
      <c r="G175" s="3">
        <f>VLOOKUP(Combined[[#This Row],[Episode number from TVMaze]],TVMazePython[],3,FALSE)</f>
        <v>42321</v>
      </c>
      <c r="H175" s="2" t="str">
        <f>VLOOKUP(Combined[[#This Row],[Episode number from TVMaze]],TVMazePython[],4,FALSE)</f>
        <v>Kevin McCloud returns to north Cornwall to see one of his favourite Grand Designs, and discover whether Rebecca Sturrock and Gregory Kewish have been successful with their ambitious plans. Their project, to reinforce the walls of an old bungalow and put a new living space on top made entirely of cross-laminated timber, soon ran into difficulties, but now fully complete both inside and out, Kevin finds out whether this innovative house is really big enough to accommodate a growing family.</v>
      </c>
      <c r="I175" s="2" t="str">
        <f>VLOOKUP(Combined[[#This Row],[Episode number from TVMaze]],Files[],3,FALSE)</f>
        <v>/home/ziga/share/Series/Other/0 Home and Gardening/Grand Designs/Season 16/Grand Designs - S16E09 - Revisited - North Cornwall - The Cross-Laminated Timber House.mkv</v>
      </c>
      <c r="J175" s="2" t="str">
        <f>CHAR(34)&amp;Combined[[#This Row],[Episode number from TVMaze]]&amp;CHAR(34)&amp;": "&amp;CHAR(34)&amp;Combined[[#This Row],[Path]]&amp;CHAR(34)&amp;","</f>
        <v>"S16E09": "/home/ziga/share/Series/Other/0 Home and Gardening/Grand Designs/Season 16/Grand Designs - S16E09 - Revisited - North Cornwall - The Cross-Laminated Timber House.mkv",</v>
      </c>
      <c r="K175" s="2" t="str">
        <f>IF(Combined[[#This Row],[Is name same]],Combined[[#This Row],[Episode number from TVMaze]],IF(Combined[[#This Row],[NFO created]]="No need",Combined[[#This Row],[Episode number from TVMaze]],""))</f>
        <v>S16E09</v>
      </c>
      <c r="L175" s="2" t="str">
        <f>CHAR(34)&amp;Combined[[#This Row],[Episode number from TVMaze]]&amp;CHAR(34)&amp;": "&amp;CHAR(34)&amp;Combined[[#This Row],[Correct TVDB episode number for getting image url]]&amp;CHAR(34)&amp;","</f>
        <v>"S16E09": "S16E09",</v>
      </c>
      <c r="M175" s="2" t="b">
        <f>Combined[[#This Row],[Correct TVDB episode number for getting image url]]=Combined[[#This Row],[Episode number from TVMaze]]</f>
        <v>1</v>
      </c>
      <c r="N175" s="2" t="str">
        <f>IF(Combined[[#This Row],[Have file]],IF(LEN(Combined[[#This Row],[Correct TVDB episode number for getting image url]])=0,"Find correct episode number for TheTVDB",""),"Find episode on the internet")</f>
        <v/>
      </c>
    </row>
    <row r="176" spans="1:14" x14ac:dyDescent="0.25">
      <c r="A176" t="str">
        <f>TVMaze[[#This Row],[Episode number]]</f>
        <v>S17E01</v>
      </c>
      <c r="B176" t="b">
        <f>IF(ISNUMBER(MATCH(Combined[Episode number from TVMaze],Files[Episode number],0)),TRUE,FALSE)</f>
        <v>1</v>
      </c>
      <c r="C176" t="str">
        <f>TVMaze[[#This Row],[Name]]</f>
        <v>Dursley: Gloucestershire Treehouse</v>
      </c>
      <c r="D176" t="str">
        <f>VLOOKUP(Combined[[#This Row],[Episode number from TVMaze]],TVDB[],2,FALSE)</f>
        <v>Dursley: Gloucestershire Treehouse</v>
      </c>
      <c r="E176" s="2" t="b">
        <f>_xlfn.IFNA(Combined[[#This Row],[Name from TVMaze]]=Combined[[#This Row],[Name from TVDB]],FALSE)</f>
        <v>1</v>
      </c>
      <c r="F176" s="2"/>
      <c r="G176" s="3">
        <f>VLOOKUP(Combined[[#This Row],[Episode number from TVMaze]],TVMazePython[],3,FALSE)</f>
        <v>42634</v>
      </c>
      <c r="H176" s="2" t="str">
        <f>VLOOKUP(Combined[[#This Row],[Episode number from TVMaze]],TVMazePython[],4,FALSE)</f>
        <v>A new run of shows starts with an overgrown, neglected half-acre site in the heart of a Gloucestershire town. It could be the perfect plot to build a house - if you were allowed to cut down its 27 protected trees and clear the site. But local plumber Jon Martin and ceramicist Noreen Jaafar have a much better solution. They love trees and they love their home town, so they're going to build a big modern tree house. The house will be way up in the trees, with stilts screwed into the earth and featuring balconies that see for miles. The only problem is building it, especially on a tight budget. It takes almost two years to crack the engineering as the project becomes an epic self-build, 40 feet up, as an exhausted Jon and Noreen battle towards the finish.</v>
      </c>
      <c r="I176" s="2" t="str">
        <f>VLOOKUP(Combined[[#This Row],[Episode number from TVMaze]],Files[],3,FALSE)</f>
        <v>/home/ziga/share/Series/Other/0 Home and Gardening/Grand Designs/Season 17/Grand Designs - S17E01 - Gloucestershire - Treehouse.mkv</v>
      </c>
      <c r="J176" s="2" t="str">
        <f>CHAR(34)&amp;Combined[[#This Row],[Episode number from TVMaze]]&amp;CHAR(34)&amp;": "&amp;CHAR(34)&amp;Combined[[#This Row],[Path]]&amp;CHAR(34)&amp;","</f>
        <v>"S17E01": "/home/ziga/share/Series/Other/0 Home and Gardening/Grand Designs/Season 17/Grand Designs - S17E01 - Gloucestershire - Treehouse.mkv",</v>
      </c>
      <c r="K176" s="2" t="str">
        <f>IF(Combined[[#This Row],[Is name same]],Combined[[#This Row],[Episode number from TVMaze]],IF(Combined[[#This Row],[NFO created]]="No need",Combined[[#This Row],[Episode number from TVMaze]],""))</f>
        <v>S17E01</v>
      </c>
      <c r="L176" s="2" t="str">
        <f>CHAR(34)&amp;Combined[[#This Row],[Episode number from TVMaze]]&amp;CHAR(34)&amp;": "&amp;CHAR(34)&amp;Combined[[#This Row],[Correct TVDB episode number for getting image url]]&amp;CHAR(34)&amp;","</f>
        <v>"S17E01": "S17E01",</v>
      </c>
      <c r="M176" s="2" t="b">
        <f>Combined[[#This Row],[Correct TVDB episode number for getting image url]]=Combined[[#This Row],[Episode number from TVMaze]]</f>
        <v>1</v>
      </c>
      <c r="N176" s="2" t="str">
        <f>IF(Combined[[#This Row],[Have file]],IF(LEN(Combined[[#This Row],[Correct TVDB episode number for getting image url]])=0,"Find correct episode number for TheTVDB",""),"Find episode on the internet")</f>
        <v/>
      </c>
    </row>
    <row r="177" spans="1:14" x14ac:dyDescent="0.25">
      <c r="A177" t="str">
        <f>TVMaze[[#This Row],[Episode number]]</f>
        <v>S17E02</v>
      </c>
      <c r="B177" t="b">
        <f>IF(ISNUMBER(MATCH(Combined[Episode number from TVMaze],Files[Episode number],0)),TRUE,FALSE)</f>
        <v>1</v>
      </c>
      <c r="C177" t="str">
        <f>TVMaze[[#This Row],[Name]]</f>
        <v>Horsham: Fun House</v>
      </c>
      <c r="D177" t="str">
        <f>VLOOKUP(Combined[[#This Row],[Episode number from TVMaze]],TVDB[],2,FALSE)</f>
        <v>Horsham: Fun House</v>
      </c>
      <c r="E177" s="2" t="b">
        <f>_xlfn.IFNA(Combined[[#This Row],[Name from TVMaze]]=Combined[[#This Row],[Name from TVDB]],FALSE)</f>
        <v>1</v>
      </c>
      <c r="F177" s="2"/>
      <c r="G177" s="3">
        <f>VLOOKUP(Combined[[#This Row],[Episode number from TVMaze]],TVMazePython[],3,FALSE)</f>
        <v>42641</v>
      </c>
      <c r="H177" s="2" t="str">
        <f>VLOOKUP(Combined[[#This Row],[Episode number from TVMaze]],TVMazePython[],4,FALSE)</f>
        <v>Why are our homes so often designed to be so serious and purely practical? Surely there's space for a bit more fun? That's what Matt and Sophie White from Sussex believe. They want to build a giant family house of fun for themselves and their children. It will be a mysterious black home kitted out with a revolving bookcase door, secret dens, hiding places behind one-way mirrors and a fireman's pole. Matt wants the house to evolve, so he uses a steel frame system which means they can change the layout whenever they want. There are other changes too - like amending the window shapes and sizes and adding a new half floor to create a James Bond room. Just what will this house look like in the end?</v>
      </c>
      <c r="I177" s="2" t="str">
        <f>VLOOKUP(Combined[[#This Row],[Episode number from TVMaze]],Files[],3,FALSE)</f>
        <v>/home/ziga/share/Series/Other/0 Home and Gardening/Grand Designs/Season 17/Grand Designs - S17E02 - Horsham - Fun House.mkv</v>
      </c>
      <c r="J177" s="2" t="str">
        <f>CHAR(34)&amp;Combined[[#This Row],[Episode number from TVMaze]]&amp;CHAR(34)&amp;": "&amp;CHAR(34)&amp;Combined[[#This Row],[Path]]&amp;CHAR(34)&amp;","</f>
        <v>"S17E02": "/home/ziga/share/Series/Other/0 Home and Gardening/Grand Designs/Season 17/Grand Designs - S17E02 - Horsham - Fun House.mkv",</v>
      </c>
      <c r="K177" s="2" t="str">
        <f>IF(Combined[[#This Row],[Is name same]],Combined[[#This Row],[Episode number from TVMaze]],IF(Combined[[#This Row],[NFO created]]="No need",Combined[[#This Row],[Episode number from TVMaze]],""))</f>
        <v>S17E02</v>
      </c>
      <c r="L177" s="2" t="str">
        <f>CHAR(34)&amp;Combined[[#This Row],[Episode number from TVMaze]]&amp;CHAR(34)&amp;": "&amp;CHAR(34)&amp;Combined[[#This Row],[Correct TVDB episode number for getting image url]]&amp;CHAR(34)&amp;","</f>
        <v>"S17E02": "S17E02",</v>
      </c>
      <c r="M177" s="2" t="b">
        <f>Combined[[#This Row],[Correct TVDB episode number for getting image url]]=Combined[[#This Row],[Episode number from TVMaze]]</f>
        <v>1</v>
      </c>
      <c r="N177" s="2" t="str">
        <f>IF(Combined[[#This Row],[Have file]],IF(LEN(Combined[[#This Row],[Correct TVDB episode number for getting image url]])=0,"Find correct episode number for TheTVDB",""),"Find episode on the internet")</f>
        <v/>
      </c>
    </row>
    <row r="178" spans="1:14" x14ac:dyDescent="0.25">
      <c r="A178" t="str">
        <f>TVMaze[[#This Row],[Episode number]]</f>
        <v>S17E03</v>
      </c>
      <c r="B178" t="b">
        <f>IF(ISNUMBER(MATCH(Combined[Episode number from TVMaze],Files[Episode number],0)),TRUE,FALSE)</f>
        <v>1</v>
      </c>
      <c r="C178" t="str">
        <f>TVMaze[[#This Row],[Name]]</f>
        <v>South Cornwall: Steam Bending House</v>
      </c>
      <c r="D178" t="str">
        <f>VLOOKUP(Combined[[#This Row],[Episode number from TVMaze]],TVDB[],2,FALSE)</f>
        <v>South Cornwall: Steam Bending House</v>
      </c>
      <c r="E178" s="2" t="b">
        <f>_xlfn.IFNA(Combined[[#This Row],[Name from TVMaze]]=Combined[[#This Row],[Name from TVDB]],FALSE)</f>
        <v>1</v>
      </c>
      <c r="F178" s="2"/>
      <c r="G178" s="3">
        <f>VLOOKUP(Combined[[#This Row],[Episode number from TVMaze]],TVMazePython[],3,FALSE)</f>
        <v>42648</v>
      </c>
      <c r="H178" s="2" t="str">
        <f>VLOOKUP(Combined[[#This Row],[Episode number from TVMaze]],TVMazePython[],4,FALSE)</f>
        <v>Tom and Danielle Raffield's lifelong passion is steam-bending wood into extraordinary curvy shapes. They've spent much of their working lives using the technique to make furniture and lighting. Desperate to escape their tiny gamekeeper's lodge, they've decided to build a spectacular wavy wooden house in South Cornwall, with curvy cladding, twisty furniture, and interior walls covered with naturally-weathered timber. With only a ú100k budget to play with, they decide to do a lot of the building themselves. But have they taken on too much?</v>
      </c>
      <c r="I178" s="2" t="str">
        <f>VLOOKUP(Combined[[#This Row],[Episode number from TVMaze]],Files[],3,FALSE)</f>
        <v>/home/ziga/share/Series/Other/0 Home and Gardening/Grand Designs/Season 17/Grand Designs - S17E03 - South Cornwall - Wavy Wooden House.mkv</v>
      </c>
      <c r="J178" s="2" t="str">
        <f>CHAR(34)&amp;Combined[[#This Row],[Episode number from TVMaze]]&amp;CHAR(34)&amp;": "&amp;CHAR(34)&amp;Combined[[#This Row],[Path]]&amp;CHAR(34)&amp;","</f>
        <v>"S17E03": "/home/ziga/share/Series/Other/0 Home and Gardening/Grand Designs/Season 17/Grand Designs - S17E03 - South Cornwall - Wavy Wooden House.mkv",</v>
      </c>
      <c r="K178" s="2" t="str">
        <f>IF(Combined[[#This Row],[Is name same]],Combined[[#This Row],[Episode number from TVMaze]],IF(Combined[[#This Row],[NFO created]]="No need",Combined[[#This Row],[Episode number from TVMaze]],""))</f>
        <v>S17E03</v>
      </c>
      <c r="L178" s="2" t="str">
        <f>CHAR(34)&amp;Combined[[#This Row],[Episode number from TVMaze]]&amp;CHAR(34)&amp;": "&amp;CHAR(34)&amp;Combined[[#This Row],[Correct TVDB episode number for getting image url]]&amp;CHAR(34)&amp;","</f>
        <v>"S17E03": "S17E03",</v>
      </c>
      <c r="M178" s="2" t="b">
        <f>Combined[[#This Row],[Correct TVDB episode number for getting image url]]=Combined[[#This Row],[Episode number from TVMaze]]</f>
        <v>1</v>
      </c>
      <c r="N178" s="2" t="str">
        <f>IF(Combined[[#This Row],[Have file]],IF(LEN(Combined[[#This Row],[Correct TVDB episode number for getting image url]])=0,"Find correct episode number for TheTVDB",""),"Find episode on the internet")</f>
        <v/>
      </c>
    </row>
    <row r="179" spans="1:14" x14ac:dyDescent="0.25">
      <c r="A179" t="str">
        <f>TVMaze[[#This Row],[Episode number]]</f>
        <v>S17E04</v>
      </c>
      <c r="B179" t="b">
        <f>IF(ISNUMBER(MATCH(Combined[Episode number from TVMaze],Files[Episode number],0)),TRUE,FALSE)</f>
        <v>1</v>
      </c>
      <c r="C179" t="str">
        <f>TVMaze[[#This Row],[Name]]</f>
        <v>Essex: Black House</v>
      </c>
      <c r="D179" t="str">
        <f>VLOOKUP(Combined[[#This Row],[Episode number from TVMaze]],TVDB[],2,FALSE)</f>
        <v>Essex: Black House</v>
      </c>
      <c r="E179" s="2" t="b">
        <f>_xlfn.IFNA(Combined[[#This Row],[Name from TVMaze]]=Combined[[#This Row],[Name from TVDB]],FALSE)</f>
        <v>1</v>
      </c>
      <c r="F179" s="2"/>
      <c r="G179" s="3">
        <f>VLOOKUP(Combined[[#This Row],[Episode number from TVMaze]],TVMazePython[],3,FALSE)</f>
        <v>42655</v>
      </c>
      <c r="H179" s="2" t="str">
        <f>VLOOKUP(Combined[[#This Row],[Episode number from TVMaze]],TVMazePython[],4,FALSE)</f>
        <v>After artist and teacher Michelle Parsons recovered from serious illness, she and her architect husband David decided it was time to seize the day and build the private hideaway they'd always yearned for. David devised a sleek, black-clad, three bedroom house for a beautiful plot in an Essex woodland, with a separate studio for Michelle. The couple project manage the build, which gets off to a sticky start, including a dangerous gas leak and torrential rain. As the building finally starts to take shape, the big question remains - by choosing to eliminate windows on two sides of the property, could their new home turn out to be just a gloomy bunker?</v>
      </c>
      <c r="I179" s="2" t="str">
        <f>VLOOKUP(Combined[[#This Row],[Episode number from TVMaze]],Files[],3,FALSE)</f>
        <v>/home/ziga/share/Series/Other/0 Home and Gardening/Grand Designs/Season 17/Grand Designs - S17E04 - Essex - Black House.mkv</v>
      </c>
      <c r="J179" s="2" t="str">
        <f>CHAR(34)&amp;Combined[[#This Row],[Episode number from TVMaze]]&amp;CHAR(34)&amp;": "&amp;CHAR(34)&amp;Combined[[#This Row],[Path]]&amp;CHAR(34)&amp;","</f>
        <v>"S17E04": "/home/ziga/share/Series/Other/0 Home and Gardening/Grand Designs/Season 17/Grand Designs - S17E04 - Essex - Black House.mkv",</v>
      </c>
      <c r="K179" s="2" t="str">
        <f>IF(Combined[[#This Row],[Is name same]],Combined[[#This Row],[Episode number from TVMaze]],IF(Combined[[#This Row],[NFO created]]="No need",Combined[[#This Row],[Episode number from TVMaze]],""))</f>
        <v>S17E04</v>
      </c>
      <c r="L179" s="2" t="str">
        <f>CHAR(34)&amp;Combined[[#This Row],[Episode number from TVMaze]]&amp;CHAR(34)&amp;": "&amp;CHAR(34)&amp;Combined[[#This Row],[Correct TVDB episode number for getting image url]]&amp;CHAR(34)&amp;","</f>
        <v>"S17E04": "S17E04",</v>
      </c>
      <c r="M179" s="2" t="b">
        <f>Combined[[#This Row],[Correct TVDB episode number for getting image url]]=Combined[[#This Row],[Episode number from TVMaze]]</f>
        <v>1</v>
      </c>
      <c r="N179" s="2" t="str">
        <f>IF(Combined[[#This Row],[Have file]],IF(LEN(Combined[[#This Row],[Correct TVDB episode number for getting image url]])=0,"Find correct episode number for TheTVDB",""),"Find episode on the internet")</f>
        <v/>
      </c>
    </row>
    <row r="180" spans="1:14" x14ac:dyDescent="0.25">
      <c r="A180" t="str">
        <f>TVMaze[[#This Row],[Episode number]]</f>
        <v>S17E05</v>
      </c>
      <c r="B180" t="b">
        <f>IF(ISNUMBER(MATCH(Combined[Episode number from TVMaze],Files[Episode number],0)),TRUE,FALSE)</f>
        <v>1</v>
      </c>
      <c r="C180" t="str">
        <f>TVMaze[[#This Row],[Name]]</f>
        <v>Bolton: Ultra-Modern House</v>
      </c>
      <c r="D180" t="str">
        <f>VLOOKUP(Combined[[#This Row],[Episode number from TVMaze]],TVDB[],2,FALSE)</f>
        <v>Bolton: Ultra-Modern House</v>
      </c>
      <c r="E180" s="2" t="b">
        <f>_xlfn.IFNA(Combined[[#This Row],[Name from TVMaze]]=Combined[[#This Row],[Name from TVDB]],FALSE)</f>
        <v>1</v>
      </c>
      <c r="F180" s="2"/>
      <c r="G180" s="3">
        <f>VLOOKUP(Combined[[#This Row],[Episode number from TVMaze]],TVMazePython[],3,FALSE)</f>
        <v>42662</v>
      </c>
      <c r="H180" s="2" t="str">
        <f>VLOOKUP(Combined[[#This Row],[Episode number from TVMaze]],TVMazePython[],4,FALSE)</f>
        <v>Paul Rimmer has worked with bricks for 40 years renovating Victorian houses in Bolton. But now he plans to hand-build a state-of-the-art wooden home. If his funding holds up that is.</v>
      </c>
      <c r="I180" s="2" t="str">
        <f>VLOOKUP(Combined[[#This Row],[Episode number from TVMaze]],Files[],3,FALSE)</f>
        <v>/home/ziga/share/Series/Other/0 Home and Gardening/Grand Designs/Season 17/Grand Designs - S17E05 - Bolton - Ultra-Modern House.mkv</v>
      </c>
      <c r="J180" s="2" t="str">
        <f>CHAR(34)&amp;Combined[[#This Row],[Episode number from TVMaze]]&amp;CHAR(34)&amp;": "&amp;CHAR(34)&amp;Combined[[#This Row],[Path]]&amp;CHAR(34)&amp;","</f>
        <v>"S17E05": "/home/ziga/share/Series/Other/0 Home and Gardening/Grand Designs/Season 17/Grand Designs - S17E05 - Bolton - Ultra-Modern House.mkv",</v>
      </c>
      <c r="K180" s="2" t="str">
        <f>IF(Combined[[#This Row],[Is name same]],Combined[[#This Row],[Episode number from TVMaze]],IF(Combined[[#This Row],[NFO created]]="No need",Combined[[#This Row],[Episode number from TVMaze]],""))</f>
        <v>S17E05</v>
      </c>
      <c r="L180" s="2" t="str">
        <f>CHAR(34)&amp;Combined[[#This Row],[Episode number from TVMaze]]&amp;CHAR(34)&amp;": "&amp;CHAR(34)&amp;Combined[[#This Row],[Correct TVDB episode number for getting image url]]&amp;CHAR(34)&amp;","</f>
        <v>"S17E05": "S17E05",</v>
      </c>
      <c r="M180" s="2" t="b">
        <f>Combined[[#This Row],[Correct TVDB episode number for getting image url]]=Combined[[#This Row],[Episode number from TVMaze]]</f>
        <v>1</v>
      </c>
      <c r="N180" s="2" t="str">
        <f>IF(Combined[[#This Row],[Have file]],IF(LEN(Combined[[#This Row],[Correct TVDB episode number for getting image url]])=0,"Find correct episode number for TheTVDB",""),"Find episode on the internet")</f>
        <v/>
      </c>
    </row>
    <row r="181" spans="1:14" x14ac:dyDescent="0.25">
      <c r="A181" t="str">
        <f>TVMaze[[#This Row],[Episode number]]</f>
        <v>S17E06</v>
      </c>
      <c r="B181" t="b">
        <f>IF(ISNUMBER(MATCH(Combined[Episode number from TVMaze],Files[Episode number],0)),TRUE,FALSE)</f>
        <v>1</v>
      </c>
      <c r="C181" t="str">
        <f>TVMaze[[#This Row],[Name]]</f>
        <v>Pembrokeshire: Low-Impact House</v>
      </c>
      <c r="D181" t="str">
        <f>VLOOKUP(Combined[[#This Row],[Episode number from TVMaze]],TVDB[],2,FALSE)</f>
        <v>Pembrokeshire: Low-Impact House</v>
      </c>
      <c r="E181" s="2" t="b">
        <f>_xlfn.IFNA(Combined[[#This Row],[Name from TVMaze]]=Combined[[#This Row],[Name from TVDB]],FALSE)</f>
        <v>1</v>
      </c>
      <c r="F181" s="2"/>
      <c r="G181" s="3">
        <f>VLOOKUP(Combined[[#This Row],[Episode number from TVMaze]],TVMazePython[],3,FALSE)</f>
        <v>42669</v>
      </c>
      <c r="H181" s="2" t="str">
        <f>VLOOKUP(Combined[[#This Row],[Episode number from TVMaze]],TVMazePython[],4,FALSE)</f>
        <v>Can you really build a Grand Design when you've only got ú500 to start with? That's what Simon and Jasmine Dale had in the bank when they started to build their unique three bedroom family house high up in the hills of rural Pembrokeshire. This is their take on 21st century low-impact self-building, featuring foraged and recycled materials. Despite the budget, their house will be open plan, have underfloor heating, an inside flushing loo, and a set of greenhouses that wouldn't disgrace Kew Gardens. They are part of a pioneering, government-backed, sustainable village called Lammas, which has a fierce planning condition attached: in return for the right to build on open farmland, they must become self-sufficient on their seven acre plot in five years, or lose everything. It's a huge double challenge.</v>
      </c>
      <c r="I181" s="2" t="str">
        <f>VLOOKUP(Combined[[#This Row],[Episode number from TVMaze]],Files[],3,FALSE)</f>
        <v>/home/ziga/share/Series/Other/0 Home and Gardening/Grand Designs/Season 17/Grand Designs - S17E06 - Pembrokeshire - Low-Impact House.mkv</v>
      </c>
      <c r="J181" s="2" t="str">
        <f>CHAR(34)&amp;Combined[[#This Row],[Episode number from TVMaze]]&amp;CHAR(34)&amp;": "&amp;CHAR(34)&amp;Combined[[#This Row],[Path]]&amp;CHAR(34)&amp;","</f>
        <v>"S17E06": "/home/ziga/share/Series/Other/0 Home and Gardening/Grand Designs/Season 17/Grand Designs - S17E06 - Pembrokeshire - Low-Impact House.mkv",</v>
      </c>
      <c r="K181" s="2" t="str">
        <f>IF(Combined[[#This Row],[Is name same]],Combined[[#This Row],[Episode number from TVMaze]],IF(Combined[[#This Row],[NFO created]]="No need",Combined[[#This Row],[Episode number from TVMaze]],""))</f>
        <v>S17E06</v>
      </c>
      <c r="L181" s="2" t="str">
        <f>CHAR(34)&amp;Combined[[#This Row],[Episode number from TVMaze]]&amp;CHAR(34)&amp;": "&amp;CHAR(34)&amp;Combined[[#This Row],[Correct TVDB episode number for getting image url]]&amp;CHAR(34)&amp;","</f>
        <v>"S17E06": "S17E06",</v>
      </c>
      <c r="M181" s="2" t="b">
        <f>Combined[[#This Row],[Correct TVDB episode number for getting image url]]=Combined[[#This Row],[Episode number from TVMaze]]</f>
        <v>1</v>
      </c>
      <c r="N181" s="2" t="str">
        <f>IF(Combined[[#This Row],[Have file]],IF(LEN(Combined[[#This Row],[Correct TVDB episode number for getting image url]])=0,"Find correct episode number for TheTVDB",""),"Find episode on the internet")</f>
        <v/>
      </c>
    </row>
    <row r="182" spans="1:14" x14ac:dyDescent="0.25">
      <c r="A182" t="str">
        <f>TVMaze[[#This Row],[Episode number]]</f>
        <v>S17E07</v>
      </c>
      <c r="B182" t="b">
        <f>IF(ISNUMBER(MATCH(Combined[Episode number from TVMaze],Files[Episode number],0)),TRUE,FALSE)</f>
        <v>1</v>
      </c>
      <c r="C182" t="str">
        <f>TVMaze[[#This Row],[Name]]</f>
        <v>Devon: Plough-Shaped House</v>
      </c>
      <c r="D182" t="str">
        <f>VLOOKUP(Combined[[#This Row],[Episode number from TVMaze]],TVDB[],2,FALSE)</f>
        <v>Devon: Plough-Shaped House</v>
      </c>
      <c r="E182" s="2" t="b">
        <f>_xlfn.IFNA(Combined[[#This Row],[Name from TVMaze]]=Combined[[#This Row],[Name from TVDB]],FALSE)</f>
        <v>1</v>
      </c>
      <c r="F182" s="2"/>
      <c r="G182" s="3">
        <f>VLOOKUP(Combined[[#This Row],[Episode number from TVMaze]],TVMazePython[],3,FALSE)</f>
        <v>42676</v>
      </c>
      <c r="H182" s="2" t="str">
        <f>VLOOKUP(Combined[[#This Row],[Episode number from TVMaze]],TVMazePython[],4,FALSE)</f>
        <v>Kevin McCloud meets Mark and Candida Diacono, who have set about building a home in the shape of a plough on their 17-acre smallholding in Devon. With its complex curved roof, timber-clad exterior and steel-framed working barn, the ambitious project presents a unique technical challenge.</v>
      </c>
      <c r="I182" s="2" t="str">
        <f>VLOOKUP(Combined[[#This Row],[Episode number from TVMaze]],Files[],3,FALSE)</f>
        <v>/home/ziga/share/Series/Other/0 Home and Gardening/Grand Designs/Season 17/Grand Designs - S17E07 - Devon - Plough-Shaped House.mkv</v>
      </c>
      <c r="J182" s="2" t="str">
        <f>CHAR(34)&amp;Combined[[#This Row],[Episode number from TVMaze]]&amp;CHAR(34)&amp;": "&amp;CHAR(34)&amp;Combined[[#This Row],[Path]]&amp;CHAR(34)&amp;","</f>
        <v>"S17E07": "/home/ziga/share/Series/Other/0 Home and Gardening/Grand Designs/Season 17/Grand Designs - S17E07 - Devon - Plough-Shaped House.mkv",</v>
      </c>
      <c r="K182" s="2" t="str">
        <f>IF(Combined[[#This Row],[Is name same]],Combined[[#This Row],[Episode number from TVMaze]],IF(Combined[[#This Row],[NFO created]]="No need",Combined[[#This Row],[Episode number from TVMaze]],""))</f>
        <v>S17E07</v>
      </c>
      <c r="L182" s="2" t="str">
        <f>CHAR(34)&amp;Combined[[#This Row],[Episode number from TVMaze]]&amp;CHAR(34)&amp;": "&amp;CHAR(34)&amp;Combined[[#This Row],[Correct TVDB episode number for getting image url]]&amp;CHAR(34)&amp;","</f>
        <v>"S17E07": "S17E07",</v>
      </c>
      <c r="M182" s="2" t="b">
        <f>Combined[[#This Row],[Correct TVDB episode number for getting image url]]=Combined[[#This Row],[Episode number from TVMaze]]</f>
        <v>1</v>
      </c>
      <c r="N182" s="2" t="str">
        <f>IF(Combined[[#This Row],[Have file]],IF(LEN(Combined[[#This Row],[Correct TVDB episode number for getting image url]])=0,"Find correct episode number for TheTVDB",""),"Find episode on the internet")</f>
        <v/>
      </c>
    </row>
    <row r="183" spans="1:14" x14ac:dyDescent="0.25">
      <c r="A183" t="str">
        <f>TVMaze[[#This Row],[Episode number]]</f>
        <v>S17E08</v>
      </c>
      <c r="B183" t="b">
        <f>IF(ISNUMBER(MATCH(Combined[Episode number from TVMaze],Files[Episode number],0)),TRUE,FALSE)</f>
        <v>1</v>
      </c>
      <c r="C183" t="str">
        <f>TVMaze[[#This Row],[Name]]</f>
        <v>The Wirral: Floating Timber House</v>
      </c>
      <c r="D183" t="str">
        <f>VLOOKUP(Combined[[#This Row],[Episode number from TVMaze]],TVDB[],2,FALSE)</f>
        <v>The Wirral: Floating Timber House</v>
      </c>
      <c r="E183" s="2" t="b">
        <f>_xlfn.IFNA(Combined[[#This Row],[Name from TVMaze]]=Combined[[#This Row],[Name from TVDB]],FALSE)</f>
        <v>1</v>
      </c>
      <c r="F183" s="2"/>
      <c r="G183" s="3">
        <f>VLOOKUP(Combined[[#This Row],[Episode number from TVMaze]],TVMazePython[],3,FALSE)</f>
        <v>42691</v>
      </c>
      <c r="H183" s="2" t="str">
        <f>VLOOKUP(Combined[[#This Row],[Episode number from TVMaze]],TVMazePython[],4,FALSE)</f>
        <v>How do you turn your small bungalow from a 1960s dormer into a generous 21st-century piece of slick architecture, all for ú175k? Stuart and Rosie Treasurer from the Wirral plan to decapitate their bungalow - cutting the roof off to leave just the walls - then balance a big new floating timber box on top, containing five bedrooms. To keep costs down, they take on the plumbing and electrics themselves, spend as little as they can on insulation, and leave elements of the building unfinished. The hope is to get a stylish industrial look in the process. But the stress levels spiral when their neighbours grumble about the ultra-modern wooden box going up in the middle of their traditional suburb.</v>
      </c>
      <c r="I183" s="2" t="str">
        <f>VLOOKUP(Combined[[#This Row],[Episode number from TVMaze]],Files[],3,FALSE)</f>
        <v>/home/ziga/share/Series/Other/0 Home and Gardening/Grand Designs/Season 17/Grand Designs - S17E08 - The Wirral - Floating Timber House.mkv</v>
      </c>
      <c r="J183" s="2" t="str">
        <f>CHAR(34)&amp;Combined[[#This Row],[Episode number from TVMaze]]&amp;CHAR(34)&amp;": "&amp;CHAR(34)&amp;Combined[[#This Row],[Path]]&amp;CHAR(34)&amp;","</f>
        <v>"S17E08": "/home/ziga/share/Series/Other/0 Home and Gardening/Grand Designs/Season 17/Grand Designs - S17E08 - The Wirral - Floating Timber House.mkv",</v>
      </c>
      <c r="K183" s="2" t="str">
        <f>IF(Combined[[#This Row],[Is name same]],Combined[[#This Row],[Episode number from TVMaze]],IF(Combined[[#This Row],[NFO created]]="No need",Combined[[#This Row],[Episode number from TVMaze]],""))</f>
        <v>S17E08</v>
      </c>
      <c r="L183" s="2" t="str">
        <f>CHAR(34)&amp;Combined[[#This Row],[Episode number from TVMaze]]&amp;CHAR(34)&amp;": "&amp;CHAR(34)&amp;Combined[[#This Row],[Correct TVDB episode number for getting image url]]&amp;CHAR(34)&amp;","</f>
        <v>"S17E08": "S17E08",</v>
      </c>
      <c r="M183" s="2" t="b">
        <f>Combined[[#This Row],[Correct TVDB episode number for getting image url]]=Combined[[#This Row],[Episode number from TVMaze]]</f>
        <v>1</v>
      </c>
      <c r="N183" s="2" t="str">
        <f>IF(Combined[[#This Row],[Have file]],IF(LEN(Combined[[#This Row],[Correct TVDB episode number for getting image url]])=0,"Find correct episode number for TheTVDB",""),"Find episode on the internet")</f>
        <v/>
      </c>
    </row>
    <row r="184" spans="1:14" x14ac:dyDescent="0.25">
      <c r="A184" t="str">
        <f>TVMaze[[#This Row],[Episode number]]</f>
        <v>S17E09</v>
      </c>
      <c r="B184" t="b">
        <f>IF(ISNUMBER(MATCH(Combined[Episode number from TVMaze],Files[Episode number],0)),TRUE,FALSE)</f>
        <v>1</v>
      </c>
      <c r="C184" t="str">
        <f>TVMaze[[#This Row],[Name]]</f>
        <v>Revisited - Somerset: Cow Shed</v>
      </c>
      <c r="D184" t="str">
        <f>VLOOKUP(Combined[[#This Row],[Episode number from TVMaze]],TVDB[],2,FALSE)</f>
        <v>Revisited - Somerset: Cow Shed</v>
      </c>
      <c r="E184" s="2" t="b">
        <f>_xlfn.IFNA(Combined[[#This Row],[Name from TVMaze]]=Combined[[#This Row],[Name from TVDB]],FALSE)</f>
        <v>1</v>
      </c>
      <c r="F184" s="2"/>
      <c r="G184" s="3">
        <f>VLOOKUP(Combined[[#This Row],[Episode number from TVMaze]],TVMazePython[],3,FALSE)</f>
        <v>42885</v>
      </c>
      <c r="H184" s="2" t="str">
        <f>VLOOKUP(Combined[[#This Row],[Episode number from TVMaze]],TVMazePython[],4,FALSE)</f>
        <v>Kevin McCloud returns one year later to see the progress of private chef Ed Versluys and Pilates instructor Vicky Anderson, who wanted to convert a concrete cowshed in the Somerset countryside into a three bedroom home. With the help of one young builder and the knowledge they can learn from the Internet, the couple planed to project manage the conversion themselves. However, they had only seven months and a budget of just over £200,000 to make a warm and comfortable home with straw bale walls and wide expanses of glass.</v>
      </c>
      <c r="I184" s="2" t="str">
        <f>VLOOKUP(Combined[[#This Row],[Episode number from TVMaze]],Files[],3,FALSE)</f>
        <v>/home/ziga/share/Series/Other/0 Home and Gardening/Grand Designs/Season 17/Grand Designs - S17E09 - Revisited - Somerset - Concrete Cow Shed.mp4</v>
      </c>
      <c r="J184" s="2" t="str">
        <f>CHAR(34)&amp;Combined[[#This Row],[Episode number from TVMaze]]&amp;CHAR(34)&amp;": "&amp;CHAR(34)&amp;Combined[[#This Row],[Path]]&amp;CHAR(34)&amp;","</f>
        <v>"S17E09": "/home/ziga/share/Series/Other/0 Home and Gardening/Grand Designs/Season 17/Grand Designs - S17E09 - Revisited - Somerset - Concrete Cow Shed.mp4",</v>
      </c>
      <c r="K184" s="2" t="str">
        <f>IF(Combined[[#This Row],[Is name same]],Combined[[#This Row],[Episode number from TVMaze]],IF(Combined[[#This Row],[NFO created]]="No need",Combined[[#This Row],[Episode number from TVMaze]],""))</f>
        <v>S17E09</v>
      </c>
      <c r="L184" s="2" t="str">
        <f>CHAR(34)&amp;Combined[[#This Row],[Episode number from TVMaze]]&amp;CHAR(34)&amp;": "&amp;CHAR(34)&amp;Combined[[#This Row],[Correct TVDB episode number for getting image url]]&amp;CHAR(34)&amp;","</f>
        <v>"S17E09": "S17E09",</v>
      </c>
      <c r="M184" s="2" t="b">
        <f>Combined[[#This Row],[Correct TVDB episode number for getting image url]]=Combined[[#This Row],[Episode number from TVMaze]]</f>
        <v>1</v>
      </c>
      <c r="N184" s="2" t="str">
        <f>IF(Combined[[#This Row],[Have file]],IF(LEN(Combined[[#This Row],[Correct TVDB episode number for getting image url]])=0,"Find correct episode number for TheTVDB",""),"Find episode on the internet")</f>
        <v/>
      </c>
    </row>
    <row r="185" spans="1:14" x14ac:dyDescent="0.25">
      <c r="A185" t="str">
        <f>TVMaze[[#This Row],[Episode number]]</f>
        <v>S18E01</v>
      </c>
      <c r="B185" t="b">
        <f>IF(ISNUMBER(MATCH(Combined[Episode number from TVMaze],Files[Episode number],0)),TRUE,FALSE)</f>
        <v>1</v>
      </c>
      <c r="C185" t="str">
        <f>TVMaze[[#This Row],[Name]]</f>
        <v>Malvern Hill House</v>
      </c>
      <c r="D185" t="str">
        <f>VLOOKUP(Combined[[#This Row],[Episode number from TVMaze]],TVDB[],2,FALSE)</f>
        <v>Malvern: Hill House</v>
      </c>
      <c r="E185" s="2" t="b">
        <f>_xlfn.IFNA(Combined[[#This Row],[Name from TVMaze]]=Combined[[#This Row],[Name from TVDB]],FALSE)</f>
        <v>0</v>
      </c>
      <c r="F185" s="2" t="s">
        <v>1316</v>
      </c>
      <c r="G185" s="3">
        <f>VLOOKUP(Combined[[#This Row],[Episode number from TVMaze]],TVMazePython[],3,FALSE)</f>
        <v>42984</v>
      </c>
      <c r="H185" s="2" t="str">
        <f>VLOOKUP(Combined[[#This Row],[Episode number from TVMaze]],TVMazePython[],4,FALSE)</f>
        <v>Few people would be brave or foolish enough to buy a building plot without visiting it first. But that's exactly what ex-RAF pilot Jon and GP Gill Flewers did. Returning to the UK after a four year stint in New Zealand, this intrepid pair want to build a Kiwi-style hill house on the slopes of the Malvern hills in Worcestershire. Their ambitious three storey upside-down home will be clad in wood and stone, clinging to the hill and designed to take advantage of and enhance the surrounding scenery. But there are problems. The site is so steep that builders don't want the job. So, despite a complete lack of experience, Jon quits his job to run the project himself. It proves an emotional rollercoaster ride.</v>
      </c>
      <c r="I185" s="2" t="str">
        <f>VLOOKUP(Combined[[#This Row],[Episode number from TVMaze]],Files[],3,FALSE)</f>
        <v>/home/ziga/share/Series/Other/0 Home and Gardening/Grand Designs/Season 18 (2017-18) [1080p HDTV]/Grand Designs - S18E01 - Malvern - Hill House.mkv</v>
      </c>
      <c r="J185" s="2" t="str">
        <f>CHAR(34)&amp;Combined[[#This Row],[Episode number from TVMaze]]&amp;CHAR(34)&amp;": "&amp;CHAR(34)&amp;Combined[[#This Row],[Path]]&amp;CHAR(34)&amp;","</f>
        <v>"S18E01": "/home/ziga/share/Series/Other/0 Home and Gardening/Grand Designs/Season 18 (2017-18) [1080p HDTV]/Grand Designs - S18E01 - Malvern - Hill House.mkv",</v>
      </c>
      <c r="K185" s="2" t="str">
        <f>IF(Combined[[#This Row],[Is name same]],Combined[[#This Row],[Episode number from TVMaze]],IF(Combined[[#This Row],[NFO created]]="No need",Combined[[#This Row],[Episode number from TVMaze]],""))</f>
        <v>S18E01</v>
      </c>
      <c r="L185" s="2" t="str">
        <f>CHAR(34)&amp;Combined[[#This Row],[Episode number from TVMaze]]&amp;CHAR(34)&amp;": "&amp;CHAR(34)&amp;Combined[[#This Row],[Correct TVDB episode number for getting image url]]&amp;CHAR(34)&amp;","</f>
        <v>"S18E01": "S18E01",</v>
      </c>
      <c r="M185" s="2" t="b">
        <f>Combined[[#This Row],[Correct TVDB episode number for getting image url]]=Combined[[#This Row],[Episode number from TVMaze]]</f>
        <v>1</v>
      </c>
      <c r="N185" s="2" t="str">
        <f>IF(Combined[[#This Row],[Have file]],IF(LEN(Combined[[#This Row],[Correct TVDB episode number for getting image url]])=0,"Find correct episode number for TheTVDB",""),"Find episode on the internet")</f>
        <v/>
      </c>
    </row>
    <row r="186" spans="1:14" x14ac:dyDescent="0.25">
      <c r="A186" t="str">
        <f>TVMaze[[#This Row],[Episode number]]</f>
        <v>S18E02</v>
      </c>
      <c r="B186" t="b">
        <f>IF(ISNUMBER(MATCH(Combined[Episode number from TVMaze],Files[Episode number],0)),TRUE,FALSE)</f>
        <v>1</v>
      </c>
      <c r="C186" t="str">
        <f>TVMaze[[#This Row],[Name]]</f>
        <v>Harringey, London: Victorian Gatehouse</v>
      </c>
      <c r="D186" t="str">
        <f>VLOOKUP(Combined[[#This Row],[Episode number from TVMaze]],TVDB[],2,FALSE)</f>
        <v>Harringey, London: Victorian Gatehouse</v>
      </c>
      <c r="E186" s="2" t="b">
        <f>_xlfn.IFNA(Combined[[#This Row],[Name from TVMaze]]=Combined[[#This Row],[Name from TVDB]],FALSE)</f>
        <v>1</v>
      </c>
      <c r="F186" s="2"/>
      <c r="G186" s="3">
        <f>VLOOKUP(Combined[[#This Row],[Episode number from TVMaze]],TVMazePython[],3,FALSE)</f>
        <v>42991</v>
      </c>
      <c r="H186" s="2" t="str">
        <f>VLOOKUP(Combined[[#This Row],[Episode number from TVMaze]],TVMazePython[],4,FALSE)</f>
        <v>Penny Talelli has a passion for cutting-edge contemporary architecture, while husband Mark Edwards loves period buildings. Somehow, these two neurologists want to build a family home that satisfies both their tastes. But will it be the best of both worlds or just an appalling mishmash? Taking the plunge, they buy a derelict Victorian gatehouse on a very steep hill in north London, that currently sits abandoned and unloved. The plan is to restore it, paint it white, and then add a giant black zinc-clad box at the back, marrying their love of old and new. But they run into problems. The gatehouse needs knocking down. Excavating the sloping site takes longer than expected. Increasingly struggling to balance their busy working lives with project managing the build, the future of Penny and Mark's unconventional home hangs in the balance.</v>
      </c>
      <c r="I186" s="2" t="str">
        <f>VLOOKUP(Combined[[#This Row],[Episode number from TVMaze]],Files[],3,FALSE)</f>
        <v>/home/ziga/share/Series/Other/0 Home and Gardening/Grand Designs/Season 18 (2017-18) [1080p HDTV]/Grand Designs - S18E02 - Harringey London - Victorian Gatehouse.mkv</v>
      </c>
      <c r="J186" s="2" t="str">
        <f>CHAR(34)&amp;Combined[[#This Row],[Episode number from TVMaze]]&amp;CHAR(34)&amp;": "&amp;CHAR(34)&amp;Combined[[#This Row],[Path]]&amp;CHAR(34)&amp;","</f>
        <v>"S18E02": "/home/ziga/share/Series/Other/0 Home and Gardening/Grand Designs/Season 18 (2017-18) [1080p HDTV]/Grand Designs - S18E02 - Harringey London - Victorian Gatehouse.mkv",</v>
      </c>
      <c r="K186" s="2" t="str">
        <f>IF(Combined[[#This Row],[Is name same]],Combined[[#This Row],[Episode number from TVMaze]],IF(Combined[[#This Row],[NFO created]]="No need",Combined[[#This Row],[Episode number from TVMaze]],""))</f>
        <v>S18E02</v>
      </c>
      <c r="L186" s="2" t="str">
        <f>CHAR(34)&amp;Combined[[#This Row],[Episode number from TVMaze]]&amp;CHAR(34)&amp;": "&amp;CHAR(34)&amp;Combined[[#This Row],[Correct TVDB episode number for getting image url]]&amp;CHAR(34)&amp;","</f>
        <v>"S18E02": "S18E02",</v>
      </c>
      <c r="M186" s="2" t="b">
        <f>Combined[[#This Row],[Correct TVDB episode number for getting image url]]=Combined[[#This Row],[Episode number from TVMaze]]</f>
        <v>1</v>
      </c>
      <c r="N186" s="2" t="str">
        <f>IF(Combined[[#This Row],[Have file]],IF(LEN(Combined[[#This Row],[Correct TVDB episode number for getting image url]])=0,"Find correct episode number for TheTVDB",""),"Find episode on the internet")</f>
        <v/>
      </c>
    </row>
    <row r="187" spans="1:14" x14ac:dyDescent="0.25">
      <c r="A187" t="str">
        <f>TVMaze[[#This Row],[Episode number]]</f>
        <v>S18E03</v>
      </c>
      <c r="B187" t="b">
        <f>IF(ISNUMBER(MATCH(Combined[Episode number from TVMaze],Files[Episode number],0)),TRUE,FALSE)</f>
        <v>1</v>
      </c>
      <c r="C187" t="str">
        <f>TVMaze[[#This Row],[Name]]</f>
        <v>County Down: Agricultural House</v>
      </c>
      <c r="D187" t="str">
        <f>VLOOKUP(Combined[[#This Row],[Episode number from TVMaze]],TVDB[],2,FALSE)</f>
        <v>County Down: Agricultural House</v>
      </c>
      <c r="E187" s="2" t="b">
        <f>_xlfn.IFNA(Combined[[#This Row],[Name from TVMaze]]=Combined[[#This Row],[Name from TVDB]],FALSE)</f>
        <v>1</v>
      </c>
      <c r="F187" s="2"/>
      <c r="G187" s="3">
        <f>VLOOKUP(Combined[[#This Row],[Episode number from TVMaze]],TVMazePython[],3,FALSE)</f>
        <v>42998</v>
      </c>
      <c r="H187" s="2" t="str">
        <f>VLOOKUP(Combined[[#This Row],[Episode number from TVMaze]],TVMazePython[],4,FALSE)</f>
        <v>We are a nation that loves our sheds - but not many of us would want to actually live in one. In Northern Ireland, young architect and shed fanatic Micah Jones has the chance to re-invent a dilapidated old agricultural building in the rolling countryside of County Down. Micah plans an upside down four bedroom shed using new techniques and materials. Micah and family move into a caravan on their windswept site for the duration of the build. But their limited £200k budget runs short and Micah is forced to do more and more of the work himself. And then news of a new baby on the way adds yet more pressure.</v>
      </c>
      <c r="I187" s="2" t="str">
        <f>VLOOKUP(Combined[[#This Row],[Episode number from TVMaze]],Files[],3,FALSE)</f>
        <v>/home/ziga/share/Series/Other/0 Home and Gardening/Grand Designs/Season 18 (2017-18) [1080p HDTV]/Grand Designs - S18E03 - County Down - Agricultural House.mkv</v>
      </c>
      <c r="J187" s="2" t="str">
        <f>CHAR(34)&amp;Combined[[#This Row],[Episode number from TVMaze]]&amp;CHAR(34)&amp;": "&amp;CHAR(34)&amp;Combined[[#This Row],[Path]]&amp;CHAR(34)&amp;","</f>
        <v>"S18E03": "/home/ziga/share/Series/Other/0 Home and Gardening/Grand Designs/Season 18 (2017-18) [1080p HDTV]/Grand Designs - S18E03 - County Down - Agricultural House.mkv",</v>
      </c>
      <c r="K187" s="2" t="str">
        <f>IF(Combined[[#This Row],[Is name same]],Combined[[#This Row],[Episode number from TVMaze]],IF(Combined[[#This Row],[NFO created]]="No need",Combined[[#This Row],[Episode number from TVMaze]],""))</f>
        <v>S18E03</v>
      </c>
      <c r="L187" s="2" t="str">
        <f>CHAR(34)&amp;Combined[[#This Row],[Episode number from TVMaze]]&amp;CHAR(34)&amp;": "&amp;CHAR(34)&amp;Combined[[#This Row],[Correct TVDB episode number for getting image url]]&amp;CHAR(34)&amp;","</f>
        <v>"S18E03": "S18E03",</v>
      </c>
      <c r="M187" s="2" t="b">
        <f>Combined[[#This Row],[Correct TVDB episode number for getting image url]]=Combined[[#This Row],[Episode number from TVMaze]]</f>
        <v>1</v>
      </c>
      <c r="N187" s="2" t="str">
        <f>IF(Combined[[#This Row],[Have file]],IF(LEN(Combined[[#This Row],[Correct TVDB episode number for getting image url]])=0,"Find correct episode number for TheTVDB",""),"Find episode on the internet")</f>
        <v/>
      </c>
    </row>
    <row r="188" spans="1:14" x14ac:dyDescent="0.25">
      <c r="A188" t="str">
        <f>TVMaze[[#This Row],[Episode number]]</f>
        <v>S18E04</v>
      </c>
      <c r="B188" t="b">
        <f>IF(ISNUMBER(MATCH(Combined[Episode number from TVMaze],Files[Episode number],0)),TRUE,FALSE)</f>
        <v>1</v>
      </c>
      <c r="C188" t="str">
        <f>TVMaze[[#This Row],[Name]]</f>
        <v>South Hertfordshire: Roman House</v>
      </c>
      <c r="D188" t="str">
        <f>VLOOKUP(Combined[[#This Row],[Episode number from TVMaze]],TVDB[],2,FALSE)</f>
        <v>South Hertfordshire: Roman House</v>
      </c>
      <c r="E188" s="2" t="b">
        <f>_xlfn.IFNA(Combined[[#This Row],[Name from TVMaze]]=Combined[[#This Row],[Name from TVDB]],FALSE)</f>
        <v>1</v>
      </c>
      <c r="F188" s="2"/>
      <c r="G188" s="3">
        <f>VLOOKUP(Combined[[#This Row],[Episode number from TVMaze]],TVMazePython[],3,FALSE)</f>
        <v>43005</v>
      </c>
      <c r="H188" s="2" t="str">
        <f>VLOOKUP(Combined[[#This Row],[Episode number from TVMaze]],TVMazePython[],4,FALSE)</f>
        <v>None</v>
      </c>
      <c r="I188" s="2" t="str">
        <f>VLOOKUP(Combined[[#This Row],[Episode number from TVMaze]],Files[],3,FALSE)</f>
        <v>/home/ziga/share/Series/Other/0 Home and Gardening/Grand Designs/Season 18 (2017-18) [1080p HDTV]/Grand Designs - S18E04 - South Hertfordshire - Roman House.mkv</v>
      </c>
      <c r="J188" s="2" t="str">
        <f>CHAR(34)&amp;Combined[[#This Row],[Episode number from TVMaze]]&amp;CHAR(34)&amp;": "&amp;CHAR(34)&amp;Combined[[#This Row],[Path]]&amp;CHAR(34)&amp;","</f>
        <v>"S18E04": "/home/ziga/share/Series/Other/0 Home and Gardening/Grand Designs/Season 18 (2017-18) [1080p HDTV]/Grand Designs - S18E04 - South Hertfordshire - Roman House.mkv",</v>
      </c>
      <c r="K188" s="2" t="str">
        <f>IF(Combined[[#This Row],[Is name same]],Combined[[#This Row],[Episode number from TVMaze]],IF(Combined[[#This Row],[NFO created]]="No need",Combined[[#This Row],[Episode number from TVMaze]],""))</f>
        <v>S18E04</v>
      </c>
      <c r="L188" s="2" t="str">
        <f>CHAR(34)&amp;Combined[[#This Row],[Episode number from TVMaze]]&amp;CHAR(34)&amp;": "&amp;CHAR(34)&amp;Combined[[#This Row],[Correct TVDB episode number for getting image url]]&amp;CHAR(34)&amp;","</f>
        <v>"S18E04": "S18E04",</v>
      </c>
      <c r="M188" s="2" t="b">
        <f>Combined[[#This Row],[Correct TVDB episode number for getting image url]]=Combined[[#This Row],[Episode number from TVMaze]]</f>
        <v>1</v>
      </c>
      <c r="N188" s="2" t="str">
        <f>IF(Combined[[#This Row],[Have file]],IF(LEN(Combined[[#This Row],[Correct TVDB episode number for getting image url]])=0,"Find correct episode number for TheTVDB",""),"Find episode on the internet")</f>
        <v/>
      </c>
    </row>
    <row r="189" spans="1:14" x14ac:dyDescent="0.25">
      <c r="A189" t="str">
        <f>TVMaze[[#This Row],[Episode number]]</f>
        <v>S18E05</v>
      </c>
      <c r="B189" t="b">
        <f>IF(ISNUMBER(MATCH(Combined[Episode number from TVMaze],Files[Episode number],0)),TRUE,FALSE)</f>
        <v>1</v>
      </c>
      <c r="C189" t="str">
        <f>TVMaze[[#This Row],[Name]]</f>
        <v>South East London: Victorian Dairy House</v>
      </c>
      <c r="D189" t="str">
        <f>VLOOKUP(Combined[[#This Row],[Episode number from TVMaze]],TVDB[],2,FALSE)</f>
        <v>South East London: Victorian Dairy House</v>
      </c>
      <c r="E189" s="2" t="b">
        <f>_xlfn.IFNA(Combined[[#This Row],[Name from TVMaze]]=Combined[[#This Row],[Name from TVDB]],FALSE)</f>
        <v>1</v>
      </c>
      <c r="F189" s="2"/>
      <c r="G189" s="3">
        <f>VLOOKUP(Combined[[#This Row],[Episode number from TVMaze]],TVMazePython[],3,FALSE)</f>
        <v>43012</v>
      </c>
      <c r="H189" s="2" t="str">
        <f>VLOOKUP(Combined[[#This Row],[Episode number from TVMaze]],TVMazePython[],4,FALSE)</f>
        <v>None</v>
      </c>
      <c r="I189" s="2" t="str">
        <f>VLOOKUP(Combined[[#This Row],[Episode number from TVMaze]],Files[],3,FALSE)</f>
        <v>/home/ziga/share/Series/Other/0 Home and Gardening/Grand Designs/Season 18 (2017-18) [1080p HDTV]/Grand Designs - S18E05 - South East London - Victorian Dairy House.mkv</v>
      </c>
      <c r="J189" s="2" t="str">
        <f>CHAR(34)&amp;Combined[[#This Row],[Episode number from TVMaze]]&amp;CHAR(34)&amp;": "&amp;CHAR(34)&amp;Combined[[#This Row],[Path]]&amp;CHAR(34)&amp;","</f>
        <v>"S18E05": "/home/ziga/share/Series/Other/0 Home and Gardening/Grand Designs/Season 18 (2017-18) [1080p HDTV]/Grand Designs - S18E05 - South East London - Victorian Dairy House.mkv",</v>
      </c>
      <c r="K189" s="2" t="str">
        <f>IF(Combined[[#This Row],[Is name same]],Combined[[#This Row],[Episode number from TVMaze]],IF(Combined[[#This Row],[NFO created]]="No need",Combined[[#This Row],[Episode number from TVMaze]],""))</f>
        <v>S18E05</v>
      </c>
      <c r="L189" s="2" t="str">
        <f>CHAR(34)&amp;Combined[[#This Row],[Episode number from TVMaze]]&amp;CHAR(34)&amp;": "&amp;CHAR(34)&amp;Combined[[#This Row],[Correct TVDB episode number for getting image url]]&amp;CHAR(34)&amp;","</f>
        <v>"S18E05": "S18E05",</v>
      </c>
      <c r="M189" s="2" t="b">
        <f>Combined[[#This Row],[Correct TVDB episode number for getting image url]]=Combined[[#This Row],[Episode number from TVMaze]]</f>
        <v>1</v>
      </c>
      <c r="N189" s="2" t="str">
        <f>IF(Combined[[#This Row],[Have file]],IF(LEN(Combined[[#This Row],[Correct TVDB episode number for getting image url]])=0,"Find correct episode number for TheTVDB",""),"Find episode on the internet")</f>
        <v/>
      </c>
    </row>
    <row r="190" spans="1:14" x14ac:dyDescent="0.25">
      <c r="A190" t="str">
        <f>TVMaze[[#This Row],[Episode number]]</f>
        <v>S18E06</v>
      </c>
      <c r="B190" t="b">
        <f>IF(ISNUMBER(MATCH(Combined[Episode number from TVMaze],Files[Episode number],0)),TRUE,FALSE)</f>
        <v>1</v>
      </c>
      <c r="C190" t="str">
        <f>TVMaze[[#This Row],[Name]]</f>
        <v>Blackdown Hills, Devon: Snake House</v>
      </c>
      <c r="D190" t="str">
        <f>VLOOKUP(Combined[[#This Row],[Episode number from TVMaze]],TVDB[],2,FALSE)</f>
        <v>Blackdown Hills, Devon: Snake House</v>
      </c>
      <c r="E190" s="2" t="b">
        <f>_xlfn.IFNA(Combined[[#This Row],[Name from TVMaze]]=Combined[[#This Row],[Name from TVDB]],FALSE)</f>
        <v>1</v>
      </c>
      <c r="F190" s="2"/>
      <c r="G190" s="3">
        <f>VLOOKUP(Combined[[#This Row],[Episode number from TVMaze]],TVMazePython[],3,FALSE)</f>
        <v>43019</v>
      </c>
      <c r="H190" s="2" t="str">
        <f>VLOOKUP(Combined[[#This Row],[Episode number from TVMaze]],TVMazePython[],4,FALSE)</f>
        <v>This is one of the most ambitious homes ever seen on Grand Designs - a scaly, curving house that's reminiscent of a giant coiled snake. Stephen Tetlow is head of the Institution of Mechanical Engineers. Stephen's wife Elizabeth is a committed horticulturalist. Together they want to build a home that reflects their passions - one that pushes Stephen's engineering skills to the limit and embraces Elizabeth's deep affinity with nature. Taking inspiration from an ammonite shell found on their land in the beautiful Blackdown Hills in Devon, the house spirals onto the landscape over two levels and mixes natural materials with cutting edge technology. Construction of such a complex curving structure proves a huge challenge and progress is tortuously slow.</v>
      </c>
      <c r="I190" s="2" t="str">
        <f>VLOOKUP(Combined[[#This Row],[Episode number from TVMaze]],Files[],3,FALSE)</f>
        <v>/home/ziga/share/Series/Other/0 Home and Gardening/Grand Designs/Season 18 (2017-18) [1080p HDTV]/Grand Designs - S18E06 - Blackdown Hills Devon - Snake House.mkv</v>
      </c>
      <c r="J190" s="2" t="str">
        <f>CHAR(34)&amp;Combined[[#This Row],[Episode number from TVMaze]]&amp;CHAR(34)&amp;": "&amp;CHAR(34)&amp;Combined[[#This Row],[Path]]&amp;CHAR(34)&amp;","</f>
        <v>"S18E06": "/home/ziga/share/Series/Other/0 Home and Gardening/Grand Designs/Season 18 (2017-18) [1080p HDTV]/Grand Designs - S18E06 - Blackdown Hills Devon - Snake House.mkv",</v>
      </c>
      <c r="K190" s="2" t="str">
        <f>IF(Combined[[#This Row],[Is name same]],Combined[[#This Row],[Episode number from TVMaze]],IF(Combined[[#This Row],[NFO created]]="No need",Combined[[#This Row],[Episode number from TVMaze]],""))</f>
        <v>S18E06</v>
      </c>
      <c r="L190" s="2" t="str">
        <f>CHAR(34)&amp;Combined[[#This Row],[Episode number from TVMaze]]&amp;CHAR(34)&amp;": "&amp;CHAR(34)&amp;Combined[[#This Row],[Correct TVDB episode number for getting image url]]&amp;CHAR(34)&amp;","</f>
        <v>"S18E06": "S18E06",</v>
      </c>
      <c r="M190" s="2" t="b">
        <f>Combined[[#This Row],[Correct TVDB episode number for getting image url]]=Combined[[#This Row],[Episode number from TVMaze]]</f>
        <v>1</v>
      </c>
      <c r="N190" s="2" t="str">
        <f>IF(Combined[[#This Row],[Have file]],IF(LEN(Combined[[#This Row],[Correct TVDB episode number for getting image url]])=0,"Find correct episode number for TheTVDB",""),"Find episode on the internet")</f>
        <v/>
      </c>
    </row>
    <row r="191" spans="1:14" x14ac:dyDescent="0.25">
      <c r="A191" t="str">
        <f>TVMaze[[#This Row],[Episode number]]</f>
        <v>S18E07</v>
      </c>
      <c r="B191" t="b">
        <f>IF(ISNUMBER(MATCH(Combined[Episode number from TVMaze],Files[Episode number],0)),TRUE,FALSE)</f>
        <v>1</v>
      </c>
      <c r="C191" t="str">
        <f>TVMaze[[#This Row],[Name]]</f>
        <v>Peak District: Post-Industrial House</v>
      </c>
      <c r="D191" t="str">
        <f>VLOOKUP(Combined[[#This Row],[Episode number from TVMaze]],TVDB[],2,FALSE)</f>
        <v>Peak District: Post-Industrial House</v>
      </c>
      <c r="E191" s="2" t="b">
        <f>_xlfn.IFNA(Combined[[#This Row],[Name from TVMaze]]=Combined[[#This Row],[Name from TVDB]],FALSE)</f>
        <v>1</v>
      </c>
      <c r="F191" s="2"/>
      <c r="G191" s="3">
        <f>VLOOKUP(Combined[[#This Row],[Episode number from TVMaze]],TVMazePython[],3,FALSE)</f>
        <v>43026</v>
      </c>
      <c r="H191" s="2" t="str">
        <f>VLOOKUP(Combined[[#This Row],[Episode number from TVMaze]],TVMazePython[],4,FALSE)</f>
        <v>None</v>
      </c>
      <c r="I191" s="2" t="str">
        <f>VLOOKUP(Combined[[#This Row],[Episode number from TVMaze]],Files[],3,FALSE)</f>
        <v>/home/ziga/share/Series/Other/0 Home and Gardening/Grand Designs/Season 18 (2017-18) [1080p HDTV]/Grand Designs - S18E07 - Peak District - Post-Industrial House.mkv</v>
      </c>
      <c r="J191" s="2" t="str">
        <f>CHAR(34)&amp;Combined[[#This Row],[Episode number from TVMaze]]&amp;CHAR(34)&amp;": "&amp;CHAR(34)&amp;Combined[[#This Row],[Path]]&amp;CHAR(34)&amp;","</f>
        <v>"S18E07": "/home/ziga/share/Series/Other/0 Home and Gardening/Grand Designs/Season 18 (2017-18) [1080p HDTV]/Grand Designs - S18E07 - Peak District - Post-Industrial House.mkv",</v>
      </c>
      <c r="K191" s="2" t="str">
        <f>IF(Combined[[#This Row],[Is name same]],Combined[[#This Row],[Episode number from TVMaze]],IF(Combined[[#This Row],[NFO created]]="No need",Combined[[#This Row],[Episode number from TVMaze]],""))</f>
        <v>S18E07</v>
      </c>
      <c r="L191" s="2" t="str">
        <f>CHAR(34)&amp;Combined[[#This Row],[Episode number from TVMaze]]&amp;CHAR(34)&amp;": "&amp;CHAR(34)&amp;Combined[[#This Row],[Correct TVDB episode number for getting image url]]&amp;CHAR(34)&amp;","</f>
        <v>"S18E07": "S18E07",</v>
      </c>
      <c r="M191" s="2" t="b">
        <f>Combined[[#This Row],[Correct TVDB episode number for getting image url]]=Combined[[#This Row],[Episode number from TVMaze]]</f>
        <v>1</v>
      </c>
      <c r="N191" s="2" t="str">
        <f>IF(Combined[[#This Row],[Have file]],IF(LEN(Combined[[#This Row],[Correct TVDB episode number for getting image url]])=0,"Find correct episode number for TheTVDB",""),"Find episode on the internet")</f>
        <v/>
      </c>
    </row>
    <row r="192" spans="1:14" x14ac:dyDescent="0.25">
      <c r="A192" t="str">
        <f>TVMaze[[#This Row],[Episode number]]</f>
        <v>S18E08</v>
      </c>
      <c r="B192" t="b">
        <f>IF(ISNUMBER(MATCH(Combined[Episode number from TVMaze],Files[Episode number],0)),TRUE,FALSE)</f>
        <v>1</v>
      </c>
      <c r="C192" t="str">
        <f>TVMaze[[#This Row],[Name]]</f>
        <v>London: Miniscule House</v>
      </c>
      <c r="D192" t="str">
        <f>VLOOKUP(Combined[[#This Row],[Episode number from TVMaze]],TVDB[],2,FALSE)</f>
        <v>London: Miniscule House</v>
      </c>
      <c r="E192" s="2" t="b">
        <f>_xlfn.IFNA(Combined[[#This Row],[Name from TVMaze]]=Combined[[#This Row],[Name from TVDB]],FALSE)</f>
        <v>1</v>
      </c>
      <c r="F192" s="2"/>
      <c r="G192" s="3">
        <f>VLOOKUP(Combined[[#This Row],[Episode number from TVMaze]],TVMazePython[],3,FALSE)</f>
        <v>43033</v>
      </c>
      <c r="H192" s="2" t="str">
        <f>VLOOKUP(Combined[[#This Row],[Episode number from TVMaze]],TVMazePython[],4,FALSE)</f>
        <v>Joe and Lina's clever space-saving low-budget build may be the smallest two-bedroom house you're allowed to build in London, but it'll be stylish, and theirs - not a landlord's.</v>
      </c>
      <c r="I192" s="2" t="str">
        <f>VLOOKUP(Combined[[#This Row],[Episode number from TVMaze]],Files[],3,FALSE)</f>
        <v>/home/ziga/share/Series/Other/0 Home and Gardening/Grand Designs/Season 18 (2017-18) [1080p HDTV]/Grand Designs - S18E08 - London - Miniscule House.mkv</v>
      </c>
      <c r="J192" s="2" t="str">
        <f>CHAR(34)&amp;Combined[[#This Row],[Episode number from TVMaze]]&amp;CHAR(34)&amp;": "&amp;CHAR(34)&amp;Combined[[#This Row],[Path]]&amp;CHAR(34)&amp;","</f>
        <v>"S18E08": "/home/ziga/share/Series/Other/0 Home and Gardening/Grand Designs/Season 18 (2017-18) [1080p HDTV]/Grand Designs - S18E08 - London - Miniscule House.mkv",</v>
      </c>
      <c r="K192" s="2" t="str">
        <f>IF(Combined[[#This Row],[Is name same]],Combined[[#This Row],[Episode number from TVMaze]],IF(Combined[[#This Row],[NFO created]]="No need",Combined[[#This Row],[Episode number from TVMaze]],""))</f>
        <v>S18E08</v>
      </c>
      <c r="L192" s="2" t="str">
        <f>CHAR(34)&amp;Combined[[#This Row],[Episode number from TVMaze]]&amp;CHAR(34)&amp;": "&amp;CHAR(34)&amp;Combined[[#This Row],[Correct TVDB episode number for getting image url]]&amp;CHAR(34)&amp;","</f>
        <v>"S18E08": "S18E08",</v>
      </c>
      <c r="M192" s="2" t="b">
        <f>Combined[[#This Row],[Correct TVDB episode number for getting image url]]=Combined[[#This Row],[Episode number from TVMaze]]</f>
        <v>1</v>
      </c>
      <c r="N192" s="2" t="str">
        <f>IF(Combined[[#This Row],[Have file]],IF(LEN(Combined[[#This Row],[Correct TVDB episode number for getting image url]])=0,"Find correct episode number for TheTVDB",""),"Find episode on the internet")</f>
        <v/>
      </c>
    </row>
    <row r="193" spans="1:14" x14ac:dyDescent="0.25">
      <c r="A193" t="str">
        <f>TVMaze[[#This Row],[Episode number]]</f>
        <v>S18E09</v>
      </c>
      <c r="B193" t="b">
        <f>IF(ISNUMBER(MATCH(Combined[Episode number from TVMaze],Files[Episode number],0)),TRUE,FALSE)</f>
        <v>1</v>
      </c>
      <c r="C193" t="str">
        <f>TVMaze[[#This Row],[Name]]</f>
        <v>Revisited - Herefordshire: The Recycled Timber-Framed House</v>
      </c>
      <c r="D193" t="str">
        <f>VLOOKUP(Combined[[#This Row],[Episode number from TVMaze]],TVDB[],2,FALSE)</f>
        <v>Revisited - Herefordshire: The Recycled Timber-Framed House</v>
      </c>
      <c r="E193" s="2" t="b">
        <f>_xlfn.IFNA(Combined[[#This Row],[Name from TVMaze]]=Combined[[#This Row],[Name from TVDB]],FALSE)</f>
        <v>1</v>
      </c>
      <c r="F193" s="2"/>
      <c r="G193" s="3">
        <f>VLOOKUP(Combined[[#This Row],[Episode number from TVMaze]],TVMazePython[],3,FALSE)</f>
        <v>43040</v>
      </c>
      <c r="H193" s="2" t="str">
        <f>VLOOKUP(Combined[[#This Row],[Episode number from TVMaze]],TVMazePython[],4,FALSE)</f>
        <v>Ten years in the making, this is the longest running Grand Designs ever. In 2007, Ed and Rowena Waghorn started to build a handcrafted five bedroom house on an eight acre smallholding in Herefordshire. Their budget was just £100k. Made from individually carved wooden beams and walls of straw and clay, the heart of the house was to be a huge medieval style hall, complete with massive stone fireplace and a glorious cathedral-like window with panoramic views across the valley. Ed decided to do most of the work himself. Progress was slow. Four years in, the house was still a shell. In 2012 Kevin McCloud decided to follow the build for another five years. In the end, it's just possible this house might turn out to be a masterpiece.</v>
      </c>
      <c r="I193" s="2" t="str">
        <f>VLOOKUP(Combined[[#This Row],[Episode number from TVMaze]],Files[],3,FALSE)</f>
        <v>/home/ziga/share/Series/Other/0 Home and Gardening/Grand Designs/Season 18 (2017-18) [1080p HDTV]/Grand Designs - S18E09 - Revisited - Herefordshire - The Recycled Timber-Framed House.mkv</v>
      </c>
      <c r="J193" s="2" t="str">
        <f>CHAR(34)&amp;Combined[[#This Row],[Episode number from TVMaze]]&amp;CHAR(34)&amp;": "&amp;CHAR(34)&amp;Combined[[#This Row],[Path]]&amp;CHAR(34)&amp;","</f>
        <v>"S18E09": "/home/ziga/share/Series/Other/0 Home and Gardening/Grand Designs/Season 18 (2017-18) [1080p HDTV]/Grand Designs - S18E09 - Revisited - Herefordshire - The Recycled Timber-Framed House.mkv",</v>
      </c>
      <c r="K193" s="2" t="str">
        <f>IF(Combined[[#This Row],[Is name same]],Combined[[#This Row],[Episode number from TVMaze]],IF(Combined[[#This Row],[NFO created]]="No need",Combined[[#This Row],[Episode number from TVMaze]],""))</f>
        <v>S18E09</v>
      </c>
      <c r="L193" s="2" t="str">
        <f>CHAR(34)&amp;Combined[[#This Row],[Episode number from TVMaze]]&amp;CHAR(34)&amp;": "&amp;CHAR(34)&amp;Combined[[#This Row],[Correct TVDB episode number for getting image url]]&amp;CHAR(34)&amp;","</f>
        <v>"S18E09": "S18E09",</v>
      </c>
      <c r="M193" s="2" t="b">
        <f>Combined[[#This Row],[Correct TVDB episode number for getting image url]]=Combined[[#This Row],[Episode number from TVMaze]]</f>
        <v>1</v>
      </c>
      <c r="N193" s="2" t="str">
        <f>IF(Combined[[#This Row],[Have file]],IF(LEN(Combined[[#This Row],[Correct TVDB episode number for getting image url]])=0,"Find correct episode number for TheTVDB",""),"Find episode on the internet")</f>
        <v/>
      </c>
    </row>
    <row r="194" spans="1:14" x14ac:dyDescent="0.25">
      <c r="A194" t="str">
        <f>TVMaze[[#This Row],[Episode number]]</f>
        <v>S19E01</v>
      </c>
      <c r="B194" t="b">
        <f>IF(ISNUMBER(MATCH(Combined[Episode number from TVMaze],Files[Episode number],0)),TRUE,FALSE)</f>
        <v>1</v>
      </c>
      <c r="C194" t="str">
        <f>TVMaze[[#This Row],[Name]]</f>
        <v>Buckinghamshire</v>
      </c>
      <c r="D194" t="str">
        <f>VLOOKUP(Combined[[#This Row],[Episode number from TVMaze]],TVDB[],2,FALSE)</f>
        <v>Aylsebury Vale: Folly House</v>
      </c>
      <c r="E194" s="2" t="b">
        <f>_xlfn.IFNA(Combined[[#This Row],[Name from TVMaze]]=Combined[[#This Row],[Name from TVDB]],FALSE)</f>
        <v>0</v>
      </c>
      <c r="F194" s="2" t="s">
        <v>1316</v>
      </c>
      <c r="G194" s="3">
        <f>VLOOKUP(Combined[[#This Row],[Episode number from TVMaze]],TVMazePython[],3,FALSE)</f>
        <v>43362</v>
      </c>
      <c r="H194" s="2" t="str">
        <f>VLOOKUP(Combined[[#This Row],[Episode number from TVMaze]],TVMazePython[],4,FALSE)</f>
        <v>Kevin McCloud returns for a new series of the show that follows intrepid individuals trying to design and build their dream home. In Buckinghamshire he meets young Spanish architect Jaime and his wife Mimi as they embark on an epic mission to convert a Grade II* listed folly into a family home. Originally designed to exhibit a fossil collection, but gutted by fire and left in ruins for the last 200 years, the crumbling mini castle beguiles Jaime and Mimi. Giving themselves a wildly optimistic six month deadline to finish before the birth of their second child, it's not long before the couple hit trouble. The Saxon burial ground the folly is built on throws up some macabre surprises. Their stonemasons from Madrid let them down and local builders with no restoration experience have to take on the crumbling stonework. Jaime puts all his energies and creativity into the project, using innovative 3D mapping to squeeze living spaces into the tower, but it's an exhausting struggle.</v>
      </c>
      <c r="I194" s="2" t="str">
        <f>VLOOKUP(Combined[[#This Row],[Episode number from TVMaze]],Files[],3,FALSE)</f>
        <v>/home/ziga/share/Series/Other/0 Home and Gardening/Grand Designs/Season 19 (2018-19) [720p HDTV]/Grand Designs - S19E01 - Aylsebury Vale - Folly House.mkv</v>
      </c>
      <c r="J194" s="2" t="str">
        <f>CHAR(34)&amp;Combined[[#This Row],[Episode number from TVMaze]]&amp;CHAR(34)&amp;": "&amp;CHAR(34)&amp;Combined[[#This Row],[Path]]&amp;CHAR(34)&amp;","</f>
        <v>"S19E01": "/home/ziga/share/Series/Other/0 Home and Gardening/Grand Designs/Season 19 (2018-19) [720p HDTV]/Grand Designs - S19E01 - Aylsebury Vale - Folly House.mkv",</v>
      </c>
      <c r="K194" s="2" t="str">
        <f>IF(Combined[[#This Row],[Is name same]],Combined[[#This Row],[Episode number from TVMaze]],IF(Combined[[#This Row],[NFO created]]="No need",Combined[[#This Row],[Episode number from TVMaze]],""))</f>
        <v>S19E01</v>
      </c>
      <c r="L194" s="2" t="str">
        <f>CHAR(34)&amp;Combined[[#This Row],[Episode number from TVMaze]]&amp;CHAR(34)&amp;": "&amp;CHAR(34)&amp;Combined[[#This Row],[Correct TVDB episode number for getting image url]]&amp;CHAR(34)&amp;","</f>
        <v>"S19E01": "S19E01",</v>
      </c>
      <c r="M194" s="2" t="b">
        <f>Combined[[#This Row],[Correct TVDB episode number for getting image url]]=Combined[[#This Row],[Episode number from TVMaze]]</f>
        <v>1</v>
      </c>
      <c r="N194" s="2" t="str">
        <f>IF(Combined[[#This Row],[Have file]],IF(LEN(Combined[[#This Row],[Correct TVDB episode number for getting image url]])=0,"Find correct episode number for TheTVDB",""),"Find episode on the internet")</f>
        <v/>
      </c>
    </row>
    <row r="195" spans="1:14" x14ac:dyDescent="0.25">
      <c r="A195" t="str">
        <f>TVMaze[[#This Row],[Episode number]]</f>
        <v>S19E02</v>
      </c>
      <c r="B195" t="b">
        <f>IF(ISNUMBER(MATCH(Combined[Episode number from TVMaze],Files[Episode number],0)),TRUE,FALSE)</f>
        <v>1</v>
      </c>
      <c r="C195" t="str">
        <f>TVMaze[[#This Row],[Name]]</f>
        <v>Padstow, Cornwall: American Modernist House</v>
      </c>
      <c r="D195" t="str">
        <f>VLOOKUP(Combined[[#This Row],[Episode number from TVMaze]],TVDB[],2,FALSE)</f>
        <v>Padstow, Cornwall: American Modernist House</v>
      </c>
      <c r="E195" s="2" t="b">
        <f>_xlfn.IFNA(Combined[[#This Row],[Name from TVMaze]]=Combined[[#This Row],[Name from TVDB]],FALSE)</f>
        <v>1</v>
      </c>
      <c r="F195" s="2"/>
      <c r="G195" s="3">
        <f>VLOOKUP(Combined[[#This Row],[Episode number from TVMaze]],TVMazePython[],3,FALSE)</f>
        <v>43369</v>
      </c>
      <c r="H195" s="2" t="str">
        <f>VLOOKUP(Combined[[#This Row],[Episode number from TVMaze]],TVMazePython[],4,FALSE)</f>
        <v>Harry and Briony Anscombe have made a radical change to their lives, moving with their three young children from London to Cornwall - and setting up an outpost of their media business at the same time. It's a bold attempt to emulate the positive work-life balance and lifestyle they experienced in California. But even bolder is the giant five-bedroom house they want to build, heavily inspired by an American modernist house Harry saw in the 80s teen comedy Ferris Bueller's Day Off. All floating steel and glass, Harry by his own admission has become 'obsessed' with living somewhere just like it. But creating such an architecturally ambitious home would typically cost over a million pounds, and Harry and Briony have just £400,000 to play with.</v>
      </c>
      <c r="I195" s="2" t="str">
        <f>VLOOKUP(Combined[[#This Row],[Episode number from TVMaze]],Files[],3,FALSE)</f>
        <v>/home/ziga/share/Series/Other/0 Home and Gardening/Grand Designs/Season 19 (2018-19) [720p HDTV]/Grand Designs - S19E02 - Padstow Cornwall - American Modernist House.mkv</v>
      </c>
      <c r="J195" s="2" t="str">
        <f>CHAR(34)&amp;Combined[[#This Row],[Episode number from TVMaze]]&amp;CHAR(34)&amp;": "&amp;CHAR(34)&amp;Combined[[#This Row],[Path]]&amp;CHAR(34)&amp;","</f>
        <v>"S19E02": "/home/ziga/share/Series/Other/0 Home and Gardening/Grand Designs/Season 19 (2018-19) [720p HDTV]/Grand Designs - S19E02 - Padstow Cornwall - American Modernist House.mkv",</v>
      </c>
      <c r="K195" s="2" t="str">
        <f>IF(Combined[[#This Row],[Is name same]],Combined[[#This Row],[Episode number from TVMaze]],IF(Combined[[#This Row],[NFO created]]="No need",Combined[[#This Row],[Episode number from TVMaze]],""))</f>
        <v>S19E02</v>
      </c>
      <c r="L195" s="2" t="str">
        <f>CHAR(34)&amp;Combined[[#This Row],[Episode number from TVMaze]]&amp;CHAR(34)&amp;": "&amp;CHAR(34)&amp;Combined[[#This Row],[Correct TVDB episode number for getting image url]]&amp;CHAR(34)&amp;","</f>
        <v>"S19E02": "S19E02",</v>
      </c>
      <c r="M195" s="2" t="b">
        <f>Combined[[#This Row],[Correct TVDB episode number for getting image url]]=Combined[[#This Row],[Episode number from TVMaze]]</f>
        <v>1</v>
      </c>
      <c r="N195" s="2" t="str">
        <f>IF(Combined[[#This Row],[Have file]],IF(LEN(Combined[[#This Row],[Correct TVDB episode number for getting image url]])=0,"Find correct episode number for TheTVDB",""),"Find episode on the internet")</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3690D-345C-4B3B-834E-16487703CFCB}">
  <dimension ref="A1:K195"/>
  <sheetViews>
    <sheetView workbookViewId="0">
      <selection activeCell="K3" sqref="K3:K191"/>
    </sheetView>
  </sheetViews>
  <sheetFormatPr defaultRowHeight="15" x14ac:dyDescent="0.25"/>
  <cols>
    <col min="1" max="1" width="17.7109375" bestFit="1" customWidth="1"/>
    <col min="2" max="2" width="29.85546875" customWidth="1"/>
    <col min="3" max="3" width="17.5703125" bestFit="1" customWidth="1"/>
    <col min="5" max="5" width="17.7109375" bestFit="1" customWidth="1"/>
    <col min="6" max="6" width="34.85546875" customWidth="1"/>
    <col min="7" max="7" width="17.5703125" bestFit="1" customWidth="1"/>
    <col min="9" max="9" width="17.7109375" bestFit="1" customWidth="1"/>
    <col min="10" max="10" width="44" customWidth="1"/>
  </cols>
  <sheetData>
    <row r="1" spans="1:11" x14ac:dyDescent="0.25">
      <c r="A1" t="s">
        <v>1306</v>
      </c>
      <c r="E1" t="s">
        <v>1307</v>
      </c>
      <c r="I1" t="s">
        <v>1308</v>
      </c>
    </row>
    <row r="2" spans="1:11" x14ac:dyDescent="0.25">
      <c r="A2" t="s">
        <v>819</v>
      </c>
      <c r="B2" t="s">
        <v>417</v>
      </c>
      <c r="C2" t="s">
        <v>2</v>
      </c>
      <c r="E2" t="s">
        <v>819</v>
      </c>
      <c r="F2" t="s">
        <v>417</v>
      </c>
      <c r="G2" t="s">
        <v>2</v>
      </c>
      <c r="I2" t="s">
        <v>819</v>
      </c>
      <c r="J2" t="s">
        <v>417</v>
      </c>
      <c r="K2" t="s">
        <v>1700</v>
      </c>
    </row>
    <row r="3" spans="1:11" x14ac:dyDescent="0.25">
      <c r="A3" t="s">
        <v>820</v>
      </c>
      <c r="B3" t="s">
        <v>816</v>
      </c>
      <c r="C3" t="s">
        <v>16</v>
      </c>
      <c r="E3" t="s">
        <v>820</v>
      </c>
      <c r="F3" t="s">
        <v>816</v>
      </c>
      <c r="G3" t="s">
        <v>815</v>
      </c>
      <c r="I3" t="s">
        <v>820</v>
      </c>
      <c r="J3" t="s">
        <v>1121</v>
      </c>
      <c r="K3" t="s">
        <v>1511</v>
      </c>
    </row>
    <row r="4" spans="1:11" x14ac:dyDescent="0.25">
      <c r="A4" t="s">
        <v>821</v>
      </c>
      <c r="B4" t="s">
        <v>814</v>
      </c>
      <c r="C4" t="s">
        <v>345</v>
      </c>
      <c r="E4" t="s">
        <v>821</v>
      </c>
      <c r="F4" t="s">
        <v>814</v>
      </c>
      <c r="G4" t="s">
        <v>813</v>
      </c>
      <c r="I4" t="s">
        <v>821</v>
      </c>
      <c r="J4" t="s">
        <v>1122</v>
      </c>
      <c r="K4" t="s">
        <v>1512</v>
      </c>
    </row>
    <row r="5" spans="1:11" x14ac:dyDescent="0.25">
      <c r="A5" t="s">
        <v>822</v>
      </c>
      <c r="B5" t="s">
        <v>812</v>
      </c>
      <c r="C5" t="s">
        <v>19</v>
      </c>
      <c r="E5" t="s">
        <v>822</v>
      </c>
      <c r="F5" t="s">
        <v>812</v>
      </c>
      <c r="G5" t="s">
        <v>811</v>
      </c>
      <c r="I5" t="s">
        <v>822</v>
      </c>
      <c r="J5" t="s">
        <v>1123</v>
      </c>
      <c r="K5" t="s">
        <v>1513</v>
      </c>
    </row>
    <row r="6" spans="1:11" x14ac:dyDescent="0.25">
      <c r="A6" t="s">
        <v>823</v>
      </c>
      <c r="B6" t="s">
        <v>810</v>
      </c>
      <c r="C6" t="s">
        <v>21</v>
      </c>
      <c r="E6" t="s">
        <v>823</v>
      </c>
      <c r="F6" t="s">
        <v>810</v>
      </c>
      <c r="G6" t="s">
        <v>809</v>
      </c>
      <c r="I6" t="s">
        <v>823</v>
      </c>
      <c r="J6" t="s">
        <v>1124</v>
      </c>
      <c r="K6" t="s">
        <v>1514</v>
      </c>
    </row>
    <row r="7" spans="1:11" x14ac:dyDescent="0.25">
      <c r="A7" t="s">
        <v>824</v>
      </c>
      <c r="B7" t="s">
        <v>808</v>
      </c>
      <c r="C7" t="s">
        <v>346</v>
      </c>
      <c r="E7" t="s">
        <v>824</v>
      </c>
      <c r="F7" t="s">
        <v>808</v>
      </c>
      <c r="G7" t="s">
        <v>807</v>
      </c>
      <c r="I7" t="s">
        <v>824</v>
      </c>
      <c r="J7" t="s">
        <v>1125</v>
      </c>
      <c r="K7" t="s">
        <v>1515</v>
      </c>
    </row>
    <row r="8" spans="1:11" x14ac:dyDescent="0.25">
      <c r="A8" t="s">
        <v>825</v>
      </c>
      <c r="B8" t="s">
        <v>806</v>
      </c>
      <c r="C8" t="s">
        <v>347</v>
      </c>
      <c r="E8" t="s">
        <v>825</v>
      </c>
      <c r="F8" t="s">
        <v>806</v>
      </c>
      <c r="G8" t="s">
        <v>805</v>
      </c>
      <c r="I8" t="s">
        <v>825</v>
      </c>
      <c r="J8" t="s">
        <v>1126</v>
      </c>
      <c r="K8" t="s">
        <v>1516</v>
      </c>
    </row>
    <row r="9" spans="1:11" x14ac:dyDescent="0.25">
      <c r="A9" t="s">
        <v>826</v>
      </c>
      <c r="B9" t="s">
        <v>804</v>
      </c>
      <c r="C9" t="s">
        <v>25</v>
      </c>
      <c r="E9" t="s">
        <v>826</v>
      </c>
      <c r="F9" t="s">
        <v>804</v>
      </c>
      <c r="G9" t="s">
        <v>803</v>
      </c>
      <c r="I9" t="s">
        <v>826</v>
      </c>
      <c r="J9" t="s">
        <v>1127</v>
      </c>
      <c r="K9" t="s">
        <v>1517</v>
      </c>
    </row>
    <row r="10" spans="1:11" x14ac:dyDescent="0.25">
      <c r="A10" t="s">
        <v>827</v>
      </c>
      <c r="B10" t="s">
        <v>802</v>
      </c>
      <c r="C10" t="s">
        <v>27</v>
      </c>
      <c r="E10" t="s">
        <v>827</v>
      </c>
      <c r="F10" t="s">
        <v>802</v>
      </c>
      <c r="G10" t="s">
        <v>801</v>
      </c>
      <c r="I10" t="s">
        <v>827</v>
      </c>
      <c r="J10" t="s">
        <v>1128</v>
      </c>
      <c r="K10" t="s">
        <v>1518</v>
      </c>
    </row>
    <row r="11" spans="1:11" x14ac:dyDescent="0.25">
      <c r="A11" t="s">
        <v>828</v>
      </c>
      <c r="B11" t="s">
        <v>1034</v>
      </c>
      <c r="C11" t="s">
        <v>348</v>
      </c>
      <c r="E11" t="s">
        <v>837</v>
      </c>
      <c r="F11" t="s">
        <v>800</v>
      </c>
      <c r="G11" t="s">
        <v>799</v>
      </c>
      <c r="I11" t="s">
        <v>837</v>
      </c>
      <c r="J11" t="s">
        <v>1129</v>
      </c>
      <c r="K11" t="s">
        <v>1519</v>
      </c>
    </row>
    <row r="12" spans="1:11" x14ac:dyDescent="0.25">
      <c r="A12" t="s">
        <v>829</v>
      </c>
      <c r="B12" t="s">
        <v>1035</v>
      </c>
      <c r="C12" t="s">
        <v>30</v>
      </c>
      <c r="E12" t="s">
        <v>838</v>
      </c>
      <c r="F12" t="s">
        <v>798</v>
      </c>
      <c r="G12" t="s">
        <v>797</v>
      </c>
      <c r="I12" t="s">
        <v>838</v>
      </c>
      <c r="J12" t="s">
        <v>1130</v>
      </c>
      <c r="K12" t="s">
        <v>1520</v>
      </c>
    </row>
    <row r="13" spans="1:11" x14ac:dyDescent="0.25">
      <c r="A13" t="s">
        <v>830</v>
      </c>
      <c r="B13" t="s">
        <v>1036</v>
      </c>
      <c r="C13" t="s">
        <v>32</v>
      </c>
      <c r="E13" t="s">
        <v>839</v>
      </c>
      <c r="F13" t="s">
        <v>796</v>
      </c>
      <c r="G13" t="s">
        <v>795</v>
      </c>
      <c r="I13" t="s">
        <v>839</v>
      </c>
      <c r="J13" t="s">
        <v>1131</v>
      </c>
      <c r="K13" t="s">
        <v>1521</v>
      </c>
    </row>
    <row r="14" spans="1:11" x14ac:dyDescent="0.25">
      <c r="A14" t="s">
        <v>831</v>
      </c>
      <c r="B14" t="s">
        <v>1037</v>
      </c>
      <c r="C14" t="s">
        <v>349</v>
      </c>
      <c r="E14" t="s">
        <v>840</v>
      </c>
      <c r="F14" t="s">
        <v>794</v>
      </c>
      <c r="G14" t="s">
        <v>793</v>
      </c>
      <c r="I14" t="s">
        <v>840</v>
      </c>
      <c r="J14" t="s">
        <v>1132</v>
      </c>
      <c r="K14" t="s">
        <v>1522</v>
      </c>
    </row>
    <row r="15" spans="1:11" x14ac:dyDescent="0.25">
      <c r="A15" t="s">
        <v>832</v>
      </c>
      <c r="B15" t="s">
        <v>1038</v>
      </c>
      <c r="C15" t="s">
        <v>35</v>
      </c>
      <c r="E15" t="s">
        <v>841</v>
      </c>
      <c r="F15" t="s">
        <v>792</v>
      </c>
      <c r="G15" t="s">
        <v>791</v>
      </c>
      <c r="I15" t="s">
        <v>841</v>
      </c>
      <c r="J15" t="s">
        <v>1133</v>
      </c>
      <c r="K15" t="s">
        <v>1523</v>
      </c>
    </row>
    <row r="16" spans="1:11" x14ac:dyDescent="0.25">
      <c r="A16" t="s">
        <v>833</v>
      </c>
      <c r="B16" t="s">
        <v>1039</v>
      </c>
      <c r="C16" t="s">
        <v>37</v>
      </c>
      <c r="E16" t="s">
        <v>842</v>
      </c>
      <c r="F16" t="s">
        <v>790</v>
      </c>
      <c r="G16" t="s">
        <v>789</v>
      </c>
      <c r="I16" t="s">
        <v>842</v>
      </c>
      <c r="J16" t="s">
        <v>1134</v>
      </c>
      <c r="K16" t="s">
        <v>1524</v>
      </c>
    </row>
    <row r="17" spans="1:11" x14ac:dyDescent="0.25">
      <c r="A17" t="s">
        <v>834</v>
      </c>
      <c r="B17" t="s">
        <v>1040</v>
      </c>
      <c r="C17" t="s">
        <v>39</v>
      </c>
      <c r="E17" t="s">
        <v>843</v>
      </c>
      <c r="F17" t="s">
        <v>788</v>
      </c>
      <c r="G17" t="s">
        <v>787</v>
      </c>
      <c r="I17" t="s">
        <v>843</v>
      </c>
      <c r="J17" t="s">
        <v>1135</v>
      </c>
      <c r="K17" t="s">
        <v>1525</v>
      </c>
    </row>
    <row r="18" spans="1:11" x14ac:dyDescent="0.25">
      <c r="A18" t="s">
        <v>835</v>
      </c>
      <c r="B18" t="s">
        <v>1041</v>
      </c>
      <c r="C18" t="s">
        <v>350</v>
      </c>
      <c r="E18" t="s">
        <v>844</v>
      </c>
      <c r="F18" t="s">
        <v>786</v>
      </c>
      <c r="G18" t="s">
        <v>785</v>
      </c>
      <c r="I18" t="s">
        <v>844</v>
      </c>
      <c r="J18" t="s">
        <v>1136</v>
      </c>
      <c r="K18" t="s">
        <v>1526</v>
      </c>
    </row>
    <row r="19" spans="1:11" x14ac:dyDescent="0.25">
      <c r="A19" t="s">
        <v>836</v>
      </c>
      <c r="B19" t="s">
        <v>1042</v>
      </c>
      <c r="C19" t="s">
        <v>351</v>
      </c>
      <c r="E19" t="s">
        <v>845</v>
      </c>
      <c r="F19" t="s">
        <v>784</v>
      </c>
      <c r="G19" t="s">
        <v>783</v>
      </c>
      <c r="I19" t="s">
        <v>845</v>
      </c>
      <c r="J19" t="s">
        <v>1137</v>
      </c>
      <c r="K19" t="s">
        <v>1527</v>
      </c>
    </row>
    <row r="20" spans="1:11" x14ac:dyDescent="0.25">
      <c r="A20" t="s">
        <v>837</v>
      </c>
      <c r="B20" t="s">
        <v>800</v>
      </c>
      <c r="C20" t="s">
        <v>44</v>
      </c>
      <c r="E20" t="s">
        <v>846</v>
      </c>
      <c r="F20" t="s">
        <v>782</v>
      </c>
      <c r="G20" t="s">
        <v>781</v>
      </c>
      <c r="I20" t="s">
        <v>846</v>
      </c>
      <c r="J20" t="s">
        <v>1138</v>
      </c>
      <c r="K20" t="s">
        <v>1528</v>
      </c>
    </row>
    <row r="21" spans="1:11" x14ac:dyDescent="0.25">
      <c r="A21" t="s">
        <v>838</v>
      </c>
      <c r="B21" t="s">
        <v>1043</v>
      </c>
      <c r="C21" t="s">
        <v>46</v>
      </c>
      <c r="E21" t="s">
        <v>847</v>
      </c>
      <c r="F21" t="s">
        <v>780</v>
      </c>
      <c r="G21" t="s">
        <v>779</v>
      </c>
      <c r="I21" t="s">
        <v>847</v>
      </c>
      <c r="J21" t="s">
        <v>1139</v>
      </c>
      <c r="K21" t="s">
        <v>1529</v>
      </c>
    </row>
    <row r="22" spans="1:11" x14ac:dyDescent="0.25">
      <c r="A22" t="s">
        <v>839</v>
      </c>
      <c r="B22" t="s">
        <v>1044</v>
      </c>
      <c r="C22" t="s">
        <v>48</v>
      </c>
      <c r="E22" t="s">
        <v>848</v>
      </c>
      <c r="F22" t="s">
        <v>778</v>
      </c>
      <c r="G22" t="s">
        <v>777</v>
      </c>
      <c r="I22" t="s">
        <v>848</v>
      </c>
      <c r="J22" t="s">
        <v>1140</v>
      </c>
      <c r="K22" t="s">
        <v>1530</v>
      </c>
    </row>
    <row r="23" spans="1:11" x14ac:dyDescent="0.25">
      <c r="A23" t="s">
        <v>840</v>
      </c>
      <c r="B23" t="s">
        <v>1045</v>
      </c>
      <c r="C23" t="s">
        <v>352</v>
      </c>
      <c r="E23" t="s">
        <v>1010</v>
      </c>
      <c r="F23" t="s">
        <v>776</v>
      </c>
      <c r="G23" t="s">
        <v>775</v>
      </c>
      <c r="I23" t="s">
        <v>1010</v>
      </c>
      <c r="J23" t="s">
        <v>1141</v>
      </c>
      <c r="K23" t="s">
        <v>1531</v>
      </c>
    </row>
    <row r="24" spans="1:11" x14ac:dyDescent="0.25">
      <c r="A24" t="s">
        <v>841</v>
      </c>
      <c r="B24" t="s">
        <v>1046</v>
      </c>
      <c r="C24" t="s">
        <v>51</v>
      </c>
      <c r="E24" t="s">
        <v>1011</v>
      </c>
      <c r="F24" t="s">
        <v>774</v>
      </c>
      <c r="G24" t="s">
        <v>773</v>
      </c>
      <c r="I24" t="s">
        <v>1011</v>
      </c>
      <c r="J24" t="s">
        <v>1142</v>
      </c>
      <c r="K24" t="s">
        <v>1532</v>
      </c>
    </row>
    <row r="25" spans="1:11" x14ac:dyDescent="0.25">
      <c r="A25" t="s">
        <v>842</v>
      </c>
      <c r="B25" t="s">
        <v>1047</v>
      </c>
      <c r="C25" t="s">
        <v>53</v>
      </c>
      <c r="E25" t="s">
        <v>1012</v>
      </c>
      <c r="F25" t="s">
        <v>772</v>
      </c>
      <c r="G25" t="s">
        <v>771</v>
      </c>
      <c r="I25" t="s">
        <v>1012</v>
      </c>
      <c r="J25" t="s">
        <v>1143</v>
      </c>
      <c r="K25" t="s">
        <v>1533</v>
      </c>
    </row>
    <row r="26" spans="1:11" x14ac:dyDescent="0.25">
      <c r="A26" t="s">
        <v>843</v>
      </c>
      <c r="B26" t="s">
        <v>788</v>
      </c>
      <c r="C26" t="s">
        <v>353</v>
      </c>
      <c r="E26" t="s">
        <v>1013</v>
      </c>
      <c r="F26" t="s">
        <v>770</v>
      </c>
      <c r="G26" t="s">
        <v>769</v>
      </c>
      <c r="I26" t="s">
        <v>1013</v>
      </c>
      <c r="J26" t="s">
        <v>1144</v>
      </c>
      <c r="K26" t="s">
        <v>1534</v>
      </c>
    </row>
    <row r="27" spans="1:11" x14ac:dyDescent="0.25">
      <c r="A27" t="s">
        <v>844</v>
      </c>
      <c r="B27" t="s">
        <v>786</v>
      </c>
      <c r="C27" t="s">
        <v>354</v>
      </c>
      <c r="E27" t="s">
        <v>1014</v>
      </c>
      <c r="F27" t="s">
        <v>768</v>
      </c>
      <c r="G27" t="s">
        <v>767</v>
      </c>
      <c r="I27" t="s">
        <v>1014</v>
      </c>
      <c r="J27" t="s">
        <v>1145</v>
      </c>
      <c r="K27" t="s">
        <v>1535</v>
      </c>
    </row>
    <row r="28" spans="1:11" x14ac:dyDescent="0.25">
      <c r="A28" t="s">
        <v>845</v>
      </c>
      <c r="B28" t="s">
        <v>1048</v>
      </c>
      <c r="C28" t="s">
        <v>57</v>
      </c>
      <c r="E28" t="s">
        <v>849</v>
      </c>
      <c r="F28" t="s">
        <v>766</v>
      </c>
      <c r="G28" t="s">
        <v>765</v>
      </c>
      <c r="I28" t="s">
        <v>849</v>
      </c>
      <c r="J28" t="s">
        <v>1146</v>
      </c>
      <c r="K28" t="s">
        <v>1536</v>
      </c>
    </row>
    <row r="29" spans="1:11" x14ac:dyDescent="0.25">
      <c r="A29" t="s">
        <v>846</v>
      </c>
      <c r="B29" t="s">
        <v>1049</v>
      </c>
      <c r="C29" t="s">
        <v>355</v>
      </c>
      <c r="E29" t="s">
        <v>850</v>
      </c>
      <c r="F29" t="s">
        <v>764</v>
      </c>
      <c r="G29" t="s">
        <v>763</v>
      </c>
      <c r="I29" t="s">
        <v>850</v>
      </c>
      <c r="J29" t="s">
        <v>1147</v>
      </c>
      <c r="K29" t="s">
        <v>1537</v>
      </c>
    </row>
    <row r="30" spans="1:11" x14ac:dyDescent="0.25">
      <c r="A30" t="s">
        <v>847</v>
      </c>
      <c r="B30" t="s">
        <v>1050</v>
      </c>
      <c r="C30" t="s">
        <v>356</v>
      </c>
      <c r="E30" t="s">
        <v>851</v>
      </c>
      <c r="F30" t="s">
        <v>762</v>
      </c>
      <c r="G30" t="s">
        <v>761</v>
      </c>
      <c r="I30" t="s">
        <v>851</v>
      </c>
      <c r="J30" t="s">
        <v>1148</v>
      </c>
      <c r="K30" t="s">
        <v>1538</v>
      </c>
    </row>
    <row r="31" spans="1:11" x14ac:dyDescent="0.25">
      <c r="A31" t="s">
        <v>848</v>
      </c>
      <c r="B31" t="s">
        <v>1051</v>
      </c>
      <c r="C31" t="s">
        <v>357</v>
      </c>
      <c r="E31" t="s">
        <v>852</v>
      </c>
      <c r="F31" t="s">
        <v>760</v>
      </c>
      <c r="G31" t="s">
        <v>759</v>
      </c>
      <c r="I31" t="s">
        <v>852</v>
      </c>
      <c r="J31" t="s">
        <v>1149</v>
      </c>
      <c r="K31" t="s">
        <v>1539</v>
      </c>
    </row>
    <row r="32" spans="1:11" x14ac:dyDescent="0.25">
      <c r="A32" t="s">
        <v>849</v>
      </c>
      <c r="B32" t="s">
        <v>766</v>
      </c>
      <c r="C32" t="s">
        <v>358</v>
      </c>
      <c r="E32" t="s">
        <v>853</v>
      </c>
      <c r="F32" t="s">
        <v>758</v>
      </c>
      <c r="G32" t="s">
        <v>757</v>
      </c>
      <c r="I32" t="s">
        <v>854</v>
      </c>
      <c r="J32" t="s">
        <v>1150</v>
      </c>
      <c r="K32" t="s">
        <v>1540</v>
      </c>
    </row>
    <row r="33" spans="1:11" x14ac:dyDescent="0.25">
      <c r="A33" t="s">
        <v>850</v>
      </c>
      <c r="B33" t="s">
        <v>764</v>
      </c>
      <c r="C33" t="s">
        <v>64</v>
      </c>
      <c r="E33" t="s">
        <v>854</v>
      </c>
      <c r="F33" t="s">
        <v>756</v>
      </c>
      <c r="G33" t="s">
        <v>755</v>
      </c>
      <c r="I33" t="s">
        <v>855</v>
      </c>
      <c r="J33" t="s">
        <v>1151</v>
      </c>
      <c r="K33" t="s">
        <v>1541</v>
      </c>
    </row>
    <row r="34" spans="1:11" x14ac:dyDescent="0.25">
      <c r="A34" t="s">
        <v>851</v>
      </c>
      <c r="B34" t="s">
        <v>762</v>
      </c>
      <c r="C34" t="s">
        <v>66</v>
      </c>
      <c r="E34" t="s">
        <v>855</v>
      </c>
      <c r="F34" t="s">
        <v>754</v>
      </c>
      <c r="G34" t="s">
        <v>753</v>
      </c>
      <c r="I34" t="s">
        <v>856</v>
      </c>
      <c r="J34" t="s">
        <v>1152</v>
      </c>
      <c r="K34" t="s">
        <v>1542</v>
      </c>
    </row>
    <row r="35" spans="1:11" x14ac:dyDescent="0.25">
      <c r="A35" t="s">
        <v>852</v>
      </c>
      <c r="B35" t="s">
        <v>760</v>
      </c>
      <c r="C35" t="s">
        <v>359</v>
      </c>
      <c r="E35" t="s">
        <v>856</v>
      </c>
      <c r="F35" t="s">
        <v>752</v>
      </c>
      <c r="G35" t="s">
        <v>751</v>
      </c>
      <c r="I35" t="s">
        <v>859</v>
      </c>
      <c r="J35" t="s">
        <v>1153</v>
      </c>
      <c r="K35" t="s">
        <v>1543</v>
      </c>
    </row>
    <row r="36" spans="1:11" x14ac:dyDescent="0.25">
      <c r="A36" t="s">
        <v>853</v>
      </c>
      <c r="B36" t="s">
        <v>758</v>
      </c>
      <c r="C36" t="s">
        <v>360</v>
      </c>
      <c r="E36" t="s">
        <v>857</v>
      </c>
      <c r="F36" t="s">
        <v>750</v>
      </c>
      <c r="G36" t="s">
        <v>749</v>
      </c>
      <c r="I36" t="s">
        <v>860</v>
      </c>
      <c r="J36" t="s">
        <v>1154</v>
      </c>
      <c r="K36" t="s">
        <v>1544</v>
      </c>
    </row>
    <row r="37" spans="1:11" x14ac:dyDescent="0.25">
      <c r="A37" t="s">
        <v>854</v>
      </c>
      <c r="B37" t="s">
        <v>756</v>
      </c>
      <c r="C37" t="s">
        <v>70</v>
      </c>
      <c r="E37" t="s">
        <v>858</v>
      </c>
      <c r="F37" t="s">
        <v>748</v>
      </c>
      <c r="G37" t="s">
        <v>747</v>
      </c>
      <c r="I37" t="s">
        <v>864</v>
      </c>
      <c r="J37" t="s">
        <v>1155</v>
      </c>
      <c r="K37" t="s">
        <v>1545</v>
      </c>
    </row>
    <row r="38" spans="1:11" x14ac:dyDescent="0.25">
      <c r="A38" t="s">
        <v>855</v>
      </c>
      <c r="B38" t="s">
        <v>754</v>
      </c>
      <c r="C38" t="s">
        <v>72</v>
      </c>
      <c r="E38" t="s">
        <v>859</v>
      </c>
      <c r="F38" t="s">
        <v>746</v>
      </c>
      <c r="G38" t="s">
        <v>745</v>
      </c>
      <c r="I38" t="s">
        <v>865</v>
      </c>
      <c r="J38" t="s">
        <v>1156</v>
      </c>
      <c r="K38" t="s">
        <v>1546</v>
      </c>
    </row>
    <row r="39" spans="1:11" x14ac:dyDescent="0.25">
      <c r="A39" t="s">
        <v>856</v>
      </c>
      <c r="B39" t="s">
        <v>1052</v>
      </c>
      <c r="C39" t="s">
        <v>361</v>
      </c>
      <c r="E39" t="s">
        <v>860</v>
      </c>
      <c r="F39" t="s">
        <v>744</v>
      </c>
      <c r="G39" t="s">
        <v>743</v>
      </c>
      <c r="I39" t="s">
        <v>866</v>
      </c>
      <c r="J39" t="s">
        <v>1157</v>
      </c>
      <c r="K39" t="s">
        <v>1547</v>
      </c>
    </row>
    <row r="40" spans="1:11" x14ac:dyDescent="0.25">
      <c r="A40" t="s">
        <v>857</v>
      </c>
      <c r="B40" t="s">
        <v>1053</v>
      </c>
      <c r="C40" t="s">
        <v>362</v>
      </c>
      <c r="E40" t="s">
        <v>864</v>
      </c>
      <c r="F40" t="s">
        <v>742</v>
      </c>
      <c r="G40" t="s">
        <v>741</v>
      </c>
      <c r="I40" t="s">
        <v>867</v>
      </c>
      <c r="J40" t="s">
        <v>1158</v>
      </c>
      <c r="K40" t="s">
        <v>1548</v>
      </c>
    </row>
    <row r="41" spans="1:11" x14ac:dyDescent="0.25">
      <c r="A41" t="s">
        <v>858</v>
      </c>
      <c r="B41" t="s">
        <v>1054</v>
      </c>
      <c r="C41" t="s">
        <v>363</v>
      </c>
      <c r="E41" t="s">
        <v>865</v>
      </c>
      <c r="F41" t="s">
        <v>740</v>
      </c>
      <c r="G41" t="s">
        <v>739</v>
      </c>
      <c r="I41" t="s">
        <v>868</v>
      </c>
      <c r="J41" t="s">
        <v>1159</v>
      </c>
      <c r="K41" t="s">
        <v>1549</v>
      </c>
    </row>
    <row r="42" spans="1:11" x14ac:dyDescent="0.25">
      <c r="A42" t="s">
        <v>859</v>
      </c>
      <c r="B42" t="s">
        <v>1055</v>
      </c>
      <c r="C42" t="s">
        <v>77</v>
      </c>
      <c r="E42" t="s">
        <v>866</v>
      </c>
      <c r="F42" t="s">
        <v>738</v>
      </c>
      <c r="G42" t="s">
        <v>737</v>
      </c>
      <c r="I42" t="s">
        <v>869</v>
      </c>
      <c r="J42" t="s">
        <v>1160</v>
      </c>
      <c r="K42" t="s">
        <v>1550</v>
      </c>
    </row>
    <row r="43" spans="1:11" x14ac:dyDescent="0.25">
      <c r="A43" t="s">
        <v>860</v>
      </c>
      <c r="B43" t="s">
        <v>1056</v>
      </c>
      <c r="C43" t="s">
        <v>364</v>
      </c>
      <c r="E43" t="s">
        <v>867</v>
      </c>
      <c r="F43" t="s">
        <v>736</v>
      </c>
      <c r="G43" t="s">
        <v>735</v>
      </c>
      <c r="I43" t="s">
        <v>870</v>
      </c>
      <c r="J43" t="s">
        <v>1161</v>
      </c>
      <c r="K43" t="s">
        <v>1551</v>
      </c>
    </row>
    <row r="44" spans="1:11" x14ac:dyDescent="0.25">
      <c r="A44" t="s">
        <v>861</v>
      </c>
      <c r="B44" t="s">
        <v>1057</v>
      </c>
      <c r="C44" t="s">
        <v>80</v>
      </c>
      <c r="E44" t="s">
        <v>868</v>
      </c>
      <c r="F44" t="s">
        <v>734</v>
      </c>
      <c r="G44" t="s">
        <v>733</v>
      </c>
      <c r="I44" t="s">
        <v>871</v>
      </c>
      <c r="J44" t="s">
        <v>1162</v>
      </c>
      <c r="K44" t="s">
        <v>1552</v>
      </c>
    </row>
    <row r="45" spans="1:11" x14ac:dyDescent="0.25">
      <c r="A45" t="s">
        <v>862</v>
      </c>
      <c r="B45" t="s">
        <v>1058</v>
      </c>
      <c r="C45" t="s">
        <v>82</v>
      </c>
      <c r="E45" t="s">
        <v>869</v>
      </c>
      <c r="F45" t="s">
        <v>732</v>
      </c>
      <c r="G45" t="s">
        <v>731</v>
      </c>
      <c r="I45" t="s">
        <v>877</v>
      </c>
      <c r="J45" t="s">
        <v>1163</v>
      </c>
      <c r="K45" t="s">
        <v>1553</v>
      </c>
    </row>
    <row r="46" spans="1:11" x14ac:dyDescent="0.25">
      <c r="A46" t="s">
        <v>863</v>
      </c>
      <c r="B46" t="s">
        <v>1059</v>
      </c>
      <c r="C46" t="s">
        <v>84</v>
      </c>
      <c r="E46" t="s">
        <v>870</v>
      </c>
      <c r="F46" t="s">
        <v>730</v>
      </c>
      <c r="G46" t="s">
        <v>729</v>
      </c>
      <c r="I46" t="s">
        <v>878</v>
      </c>
      <c r="J46" t="s">
        <v>1164</v>
      </c>
      <c r="K46" t="s">
        <v>1554</v>
      </c>
    </row>
    <row r="47" spans="1:11" x14ac:dyDescent="0.25">
      <c r="A47" t="s">
        <v>864</v>
      </c>
      <c r="B47" t="s">
        <v>1060</v>
      </c>
      <c r="C47" t="s">
        <v>87</v>
      </c>
      <c r="E47" t="s">
        <v>871</v>
      </c>
      <c r="F47" t="s">
        <v>728</v>
      </c>
      <c r="G47" t="s">
        <v>727</v>
      </c>
      <c r="I47" t="s">
        <v>879</v>
      </c>
      <c r="J47" t="s">
        <v>1165</v>
      </c>
      <c r="K47" t="s">
        <v>1555</v>
      </c>
    </row>
    <row r="48" spans="1:11" x14ac:dyDescent="0.25">
      <c r="A48" t="s">
        <v>865</v>
      </c>
      <c r="B48" t="s">
        <v>1061</v>
      </c>
      <c r="C48" t="s">
        <v>89</v>
      </c>
      <c r="E48" t="s">
        <v>876</v>
      </c>
      <c r="F48" t="s">
        <v>726</v>
      </c>
      <c r="G48" t="s">
        <v>725</v>
      </c>
      <c r="I48" t="s">
        <v>880</v>
      </c>
      <c r="J48" t="s">
        <v>1166</v>
      </c>
      <c r="K48" t="s">
        <v>1556</v>
      </c>
    </row>
    <row r="49" spans="1:11" x14ac:dyDescent="0.25">
      <c r="A49" t="s">
        <v>866</v>
      </c>
      <c r="B49" t="s">
        <v>1062</v>
      </c>
      <c r="C49" t="s">
        <v>91</v>
      </c>
      <c r="E49" t="s">
        <v>877</v>
      </c>
      <c r="F49" t="s">
        <v>724</v>
      </c>
      <c r="G49" t="s">
        <v>723</v>
      </c>
      <c r="I49" t="s">
        <v>882</v>
      </c>
      <c r="J49" t="s">
        <v>1167</v>
      </c>
      <c r="K49" t="s">
        <v>1557</v>
      </c>
    </row>
    <row r="50" spans="1:11" x14ac:dyDescent="0.25">
      <c r="A50" t="s">
        <v>867</v>
      </c>
      <c r="B50" t="s">
        <v>734</v>
      </c>
      <c r="C50" t="s">
        <v>93</v>
      </c>
      <c r="E50" t="s">
        <v>878</v>
      </c>
      <c r="F50" t="s">
        <v>722</v>
      </c>
      <c r="G50" t="s">
        <v>721</v>
      </c>
      <c r="I50" t="s">
        <v>884</v>
      </c>
      <c r="J50" t="s">
        <v>1168</v>
      </c>
      <c r="K50" t="s">
        <v>1558</v>
      </c>
    </row>
    <row r="51" spans="1:11" x14ac:dyDescent="0.25">
      <c r="A51" t="s">
        <v>868</v>
      </c>
      <c r="B51" t="s">
        <v>732</v>
      </c>
      <c r="C51" t="s">
        <v>365</v>
      </c>
      <c r="E51" t="s">
        <v>879</v>
      </c>
      <c r="F51" t="s">
        <v>720</v>
      </c>
      <c r="G51" t="s">
        <v>719</v>
      </c>
      <c r="I51" t="s">
        <v>885</v>
      </c>
      <c r="J51" t="s">
        <v>1169</v>
      </c>
      <c r="K51" t="s">
        <v>1559</v>
      </c>
    </row>
    <row r="52" spans="1:11" x14ac:dyDescent="0.25">
      <c r="A52" t="s">
        <v>869</v>
      </c>
      <c r="B52" t="s">
        <v>730</v>
      </c>
      <c r="C52" t="s">
        <v>366</v>
      </c>
      <c r="E52" t="s">
        <v>880</v>
      </c>
      <c r="F52" t="s">
        <v>718</v>
      </c>
      <c r="G52" t="s">
        <v>717</v>
      </c>
      <c r="I52" t="s">
        <v>1015</v>
      </c>
      <c r="J52" t="s">
        <v>1170</v>
      </c>
      <c r="K52" t="s">
        <v>1560</v>
      </c>
    </row>
    <row r="53" spans="1:11" x14ac:dyDescent="0.25">
      <c r="A53" t="s">
        <v>870</v>
      </c>
      <c r="B53" t="s">
        <v>728</v>
      </c>
      <c r="C53" t="s">
        <v>362</v>
      </c>
      <c r="E53" t="s">
        <v>881</v>
      </c>
      <c r="F53" t="s">
        <v>716</v>
      </c>
      <c r="G53" t="s">
        <v>715</v>
      </c>
      <c r="I53" t="s">
        <v>886</v>
      </c>
      <c r="J53" t="s">
        <v>1171</v>
      </c>
      <c r="K53" t="s">
        <v>1561</v>
      </c>
    </row>
    <row r="54" spans="1:11" x14ac:dyDescent="0.25">
      <c r="A54" t="s">
        <v>871</v>
      </c>
      <c r="B54" t="s">
        <v>1063</v>
      </c>
      <c r="C54" t="s">
        <v>367</v>
      </c>
      <c r="E54" t="s">
        <v>882</v>
      </c>
      <c r="F54" t="s">
        <v>714</v>
      </c>
      <c r="G54" t="s">
        <v>713</v>
      </c>
      <c r="I54" t="s">
        <v>887</v>
      </c>
      <c r="J54" t="s">
        <v>1172</v>
      </c>
      <c r="K54" t="s">
        <v>1562</v>
      </c>
    </row>
    <row r="55" spans="1:11" x14ac:dyDescent="0.25">
      <c r="A55" t="s">
        <v>872</v>
      </c>
      <c r="B55" t="s">
        <v>1064</v>
      </c>
      <c r="C55" t="s">
        <v>99</v>
      </c>
      <c r="E55" t="s">
        <v>883</v>
      </c>
      <c r="F55" t="s">
        <v>712</v>
      </c>
      <c r="G55" t="s">
        <v>711</v>
      </c>
      <c r="I55" t="s">
        <v>888</v>
      </c>
      <c r="J55" t="s">
        <v>1173</v>
      </c>
      <c r="K55" t="s">
        <v>1563</v>
      </c>
    </row>
    <row r="56" spans="1:11" x14ac:dyDescent="0.25">
      <c r="A56" t="s">
        <v>873</v>
      </c>
      <c r="B56" t="s">
        <v>1065</v>
      </c>
      <c r="C56" t="s">
        <v>101</v>
      </c>
      <c r="E56" t="s">
        <v>884</v>
      </c>
      <c r="F56" t="s">
        <v>710</v>
      </c>
      <c r="G56" t="s">
        <v>709</v>
      </c>
      <c r="I56" t="s">
        <v>889</v>
      </c>
      <c r="J56" t="s">
        <v>1174</v>
      </c>
      <c r="K56" t="s">
        <v>1564</v>
      </c>
    </row>
    <row r="57" spans="1:11" x14ac:dyDescent="0.25">
      <c r="A57" t="s">
        <v>874</v>
      </c>
      <c r="B57" t="s">
        <v>1066</v>
      </c>
      <c r="C57" t="s">
        <v>368</v>
      </c>
      <c r="E57" t="s">
        <v>885</v>
      </c>
      <c r="F57" t="s">
        <v>708</v>
      </c>
      <c r="G57" t="s">
        <v>707</v>
      </c>
      <c r="I57" t="s">
        <v>892</v>
      </c>
      <c r="J57" t="s">
        <v>1175</v>
      </c>
      <c r="K57" t="s">
        <v>1565</v>
      </c>
    </row>
    <row r="58" spans="1:11" x14ac:dyDescent="0.25">
      <c r="A58" t="s">
        <v>875</v>
      </c>
      <c r="B58" t="s">
        <v>1067</v>
      </c>
      <c r="C58" t="s">
        <v>104</v>
      </c>
      <c r="E58" t="s">
        <v>1015</v>
      </c>
      <c r="F58" t="s">
        <v>706</v>
      </c>
      <c r="G58" t="s">
        <v>705</v>
      </c>
      <c r="I58" t="s">
        <v>893</v>
      </c>
      <c r="J58" t="s">
        <v>1176</v>
      </c>
      <c r="K58" t="s">
        <v>1566</v>
      </c>
    </row>
    <row r="59" spans="1:11" x14ac:dyDescent="0.25">
      <c r="A59" t="s">
        <v>876</v>
      </c>
      <c r="B59" t="s">
        <v>1068</v>
      </c>
      <c r="C59" t="s">
        <v>107</v>
      </c>
      <c r="E59" t="s">
        <v>886</v>
      </c>
      <c r="F59" t="s">
        <v>704</v>
      </c>
      <c r="G59" t="s">
        <v>703</v>
      </c>
      <c r="I59" t="s">
        <v>894</v>
      </c>
      <c r="J59" t="s">
        <v>1177</v>
      </c>
      <c r="K59" t="s">
        <v>1567</v>
      </c>
    </row>
    <row r="60" spans="1:11" x14ac:dyDescent="0.25">
      <c r="A60" t="s">
        <v>877</v>
      </c>
      <c r="B60" t="s">
        <v>722</v>
      </c>
      <c r="C60" t="s">
        <v>109</v>
      </c>
      <c r="E60" t="s">
        <v>887</v>
      </c>
      <c r="F60" t="s">
        <v>702</v>
      </c>
      <c r="G60" t="s">
        <v>701</v>
      </c>
      <c r="I60" t="s">
        <v>895</v>
      </c>
      <c r="J60" t="s">
        <v>1178</v>
      </c>
      <c r="K60" t="s">
        <v>1568</v>
      </c>
    </row>
    <row r="61" spans="1:11" x14ac:dyDescent="0.25">
      <c r="A61" t="s">
        <v>878</v>
      </c>
      <c r="B61" t="s">
        <v>720</v>
      </c>
      <c r="C61" t="s">
        <v>111</v>
      </c>
      <c r="E61" t="s">
        <v>888</v>
      </c>
      <c r="F61" t="s">
        <v>700</v>
      </c>
      <c r="G61" t="s">
        <v>699</v>
      </c>
      <c r="I61" t="s">
        <v>896</v>
      </c>
      <c r="J61" t="s">
        <v>1179</v>
      </c>
      <c r="K61" t="s">
        <v>1569</v>
      </c>
    </row>
    <row r="62" spans="1:11" x14ac:dyDescent="0.25">
      <c r="A62" t="s">
        <v>879</v>
      </c>
      <c r="B62" t="s">
        <v>1069</v>
      </c>
      <c r="C62" t="s">
        <v>113</v>
      </c>
      <c r="E62" t="s">
        <v>889</v>
      </c>
      <c r="F62" t="s">
        <v>698</v>
      </c>
      <c r="G62" t="s">
        <v>697</v>
      </c>
      <c r="I62" t="s">
        <v>897</v>
      </c>
      <c r="J62" t="s">
        <v>1180</v>
      </c>
      <c r="K62" t="s">
        <v>1570</v>
      </c>
    </row>
    <row r="63" spans="1:11" x14ac:dyDescent="0.25">
      <c r="A63" t="s">
        <v>880</v>
      </c>
      <c r="B63" t="s">
        <v>710</v>
      </c>
      <c r="C63" t="s">
        <v>369</v>
      </c>
      <c r="E63" t="s">
        <v>890</v>
      </c>
      <c r="F63" t="s">
        <v>696</v>
      </c>
      <c r="G63" t="s">
        <v>695</v>
      </c>
      <c r="I63" t="s">
        <v>898</v>
      </c>
      <c r="J63" t="s">
        <v>1181</v>
      </c>
      <c r="K63" t="s">
        <v>1571</v>
      </c>
    </row>
    <row r="64" spans="1:11" x14ac:dyDescent="0.25">
      <c r="A64" t="s">
        <v>881</v>
      </c>
      <c r="B64" t="s">
        <v>1070</v>
      </c>
      <c r="C64" t="s">
        <v>370</v>
      </c>
      <c r="E64" t="s">
        <v>891</v>
      </c>
      <c r="F64" t="s">
        <v>694</v>
      </c>
      <c r="G64" t="s">
        <v>693</v>
      </c>
      <c r="I64" t="s">
        <v>899</v>
      </c>
      <c r="J64" t="s">
        <v>1182</v>
      </c>
      <c r="K64" t="s">
        <v>1572</v>
      </c>
    </row>
    <row r="65" spans="1:11" x14ac:dyDescent="0.25">
      <c r="A65" t="s">
        <v>882</v>
      </c>
      <c r="B65" t="s">
        <v>706</v>
      </c>
      <c r="C65" t="s">
        <v>117</v>
      </c>
      <c r="E65" t="s">
        <v>892</v>
      </c>
      <c r="F65" t="s">
        <v>692</v>
      </c>
      <c r="G65" t="s">
        <v>691</v>
      </c>
      <c r="I65" t="s">
        <v>900</v>
      </c>
      <c r="J65" t="s">
        <v>1183</v>
      </c>
      <c r="K65" t="s">
        <v>1573</v>
      </c>
    </row>
    <row r="66" spans="1:11" x14ac:dyDescent="0.25">
      <c r="A66" t="s">
        <v>883</v>
      </c>
      <c r="B66" t="s">
        <v>1071</v>
      </c>
      <c r="C66" t="s">
        <v>119</v>
      </c>
      <c r="E66" t="s">
        <v>1016</v>
      </c>
      <c r="F66" t="s">
        <v>690</v>
      </c>
      <c r="G66" t="s">
        <v>689</v>
      </c>
      <c r="I66" t="s">
        <v>901</v>
      </c>
      <c r="J66" t="s">
        <v>1184</v>
      </c>
      <c r="K66" t="s">
        <v>1574</v>
      </c>
    </row>
    <row r="67" spans="1:11" x14ac:dyDescent="0.25">
      <c r="A67" t="s">
        <v>884</v>
      </c>
      <c r="B67" t="s">
        <v>1072</v>
      </c>
      <c r="C67" t="s">
        <v>121</v>
      </c>
      <c r="E67" t="s">
        <v>893</v>
      </c>
      <c r="F67" t="s">
        <v>688</v>
      </c>
      <c r="G67" t="s">
        <v>687</v>
      </c>
      <c r="I67" t="s">
        <v>902</v>
      </c>
      <c r="J67" t="s">
        <v>1185</v>
      </c>
      <c r="K67" t="s">
        <v>1575</v>
      </c>
    </row>
    <row r="68" spans="1:11" x14ac:dyDescent="0.25">
      <c r="A68" t="s">
        <v>885</v>
      </c>
      <c r="B68" t="s">
        <v>1073</v>
      </c>
      <c r="C68" t="s">
        <v>123</v>
      </c>
      <c r="E68" t="s">
        <v>894</v>
      </c>
      <c r="F68" t="s">
        <v>686</v>
      </c>
      <c r="G68" t="s">
        <v>685</v>
      </c>
      <c r="I68" t="s">
        <v>903</v>
      </c>
      <c r="J68" t="s">
        <v>1186</v>
      </c>
      <c r="K68" t="s">
        <v>1576</v>
      </c>
    </row>
    <row r="69" spans="1:11" x14ac:dyDescent="0.25">
      <c r="A69" t="s">
        <v>886</v>
      </c>
      <c r="B69" t="s">
        <v>704</v>
      </c>
      <c r="C69" t="s">
        <v>371</v>
      </c>
      <c r="E69" t="s">
        <v>895</v>
      </c>
      <c r="F69" t="s">
        <v>684</v>
      </c>
      <c r="G69" t="s">
        <v>683</v>
      </c>
      <c r="I69" t="s">
        <v>904</v>
      </c>
      <c r="J69" t="s">
        <v>1187</v>
      </c>
      <c r="K69" t="s">
        <v>1577</v>
      </c>
    </row>
    <row r="70" spans="1:11" x14ac:dyDescent="0.25">
      <c r="A70" t="s">
        <v>887</v>
      </c>
      <c r="B70" t="s">
        <v>1074</v>
      </c>
      <c r="C70" t="s">
        <v>372</v>
      </c>
      <c r="E70" t="s">
        <v>896</v>
      </c>
      <c r="F70" t="s">
        <v>682</v>
      </c>
      <c r="G70" t="s">
        <v>681</v>
      </c>
      <c r="I70" t="s">
        <v>905</v>
      </c>
      <c r="J70" t="s">
        <v>1188</v>
      </c>
      <c r="K70" t="s">
        <v>1578</v>
      </c>
    </row>
    <row r="71" spans="1:11" x14ac:dyDescent="0.25">
      <c r="A71" t="s">
        <v>888</v>
      </c>
      <c r="B71" t="s">
        <v>700</v>
      </c>
      <c r="C71" t="s">
        <v>128</v>
      </c>
      <c r="E71" t="s">
        <v>897</v>
      </c>
      <c r="F71" t="s">
        <v>680</v>
      </c>
      <c r="G71" t="s">
        <v>679</v>
      </c>
      <c r="I71" t="s">
        <v>906</v>
      </c>
      <c r="J71" t="s">
        <v>1189</v>
      </c>
      <c r="K71" t="s">
        <v>1579</v>
      </c>
    </row>
    <row r="72" spans="1:11" x14ac:dyDescent="0.25">
      <c r="A72" t="s">
        <v>889</v>
      </c>
      <c r="B72" t="s">
        <v>698</v>
      </c>
      <c r="C72" t="s">
        <v>130</v>
      </c>
      <c r="E72" t="s">
        <v>898</v>
      </c>
      <c r="F72" t="s">
        <v>678</v>
      </c>
      <c r="G72" t="s">
        <v>677</v>
      </c>
      <c r="I72" t="s">
        <v>907</v>
      </c>
      <c r="J72" t="s">
        <v>1190</v>
      </c>
      <c r="K72" t="s">
        <v>1580</v>
      </c>
    </row>
    <row r="73" spans="1:11" x14ac:dyDescent="0.25">
      <c r="A73" t="s">
        <v>890</v>
      </c>
      <c r="B73" t="s">
        <v>1075</v>
      </c>
      <c r="C73" t="s">
        <v>132</v>
      </c>
      <c r="E73" t="s">
        <v>899</v>
      </c>
      <c r="F73" t="s">
        <v>676</v>
      </c>
      <c r="G73" t="s">
        <v>675</v>
      </c>
      <c r="I73" t="s">
        <v>908</v>
      </c>
      <c r="J73" t="s">
        <v>1191</v>
      </c>
      <c r="K73" t="s">
        <v>1581</v>
      </c>
    </row>
    <row r="74" spans="1:11" x14ac:dyDescent="0.25">
      <c r="A74" t="s">
        <v>891</v>
      </c>
      <c r="B74" t="s">
        <v>1076</v>
      </c>
      <c r="C74" t="s">
        <v>134</v>
      </c>
      <c r="E74" t="s">
        <v>900</v>
      </c>
      <c r="F74" t="s">
        <v>674</v>
      </c>
      <c r="G74" t="s">
        <v>673</v>
      </c>
      <c r="I74" t="s">
        <v>909</v>
      </c>
      <c r="J74" t="s">
        <v>1192</v>
      </c>
      <c r="K74" t="s">
        <v>1582</v>
      </c>
    </row>
    <row r="75" spans="1:11" x14ac:dyDescent="0.25">
      <c r="A75" t="s">
        <v>892</v>
      </c>
      <c r="B75" t="s">
        <v>1077</v>
      </c>
      <c r="C75" t="s">
        <v>136</v>
      </c>
      <c r="E75" t="s">
        <v>901</v>
      </c>
      <c r="F75" t="s">
        <v>672</v>
      </c>
      <c r="G75" t="s">
        <v>671</v>
      </c>
      <c r="I75" t="s">
        <v>910</v>
      </c>
      <c r="J75" t="s">
        <v>1193</v>
      </c>
      <c r="K75" t="s">
        <v>1583</v>
      </c>
    </row>
    <row r="76" spans="1:11" x14ac:dyDescent="0.25">
      <c r="A76" t="s">
        <v>893</v>
      </c>
      <c r="B76" t="s">
        <v>1078</v>
      </c>
      <c r="C76" t="s">
        <v>139</v>
      </c>
      <c r="E76" t="s">
        <v>902</v>
      </c>
      <c r="F76" t="s">
        <v>670</v>
      </c>
      <c r="G76" t="s">
        <v>669</v>
      </c>
      <c r="I76" t="s">
        <v>911</v>
      </c>
      <c r="J76" t="s">
        <v>1194</v>
      </c>
      <c r="K76" t="s">
        <v>1584</v>
      </c>
    </row>
    <row r="77" spans="1:11" x14ac:dyDescent="0.25">
      <c r="A77" t="s">
        <v>894</v>
      </c>
      <c r="B77" t="s">
        <v>686</v>
      </c>
      <c r="C77" t="s">
        <v>373</v>
      </c>
      <c r="E77" t="s">
        <v>903</v>
      </c>
      <c r="F77" t="s">
        <v>668</v>
      </c>
      <c r="G77" t="s">
        <v>667</v>
      </c>
      <c r="I77" t="s">
        <v>912</v>
      </c>
      <c r="J77" t="s">
        <v>1195</v>
      </c>
      <c r="K77" t="s">
        <v>1585</v>
      </c>
    </row>
    <row r="78" spans="1:11" x14ac:dyDescent="0.25">
      <c r="A78" t="s">
        <v>895</v>
      </c>
      <c r="B78" t="s">
        <v>684</v>
      </c>
      <c r="C78" t="s">
        <v>142</v>
      </c>
      <c r="E78" t="s">
        <v>904</v>
      </c>
      <c r="F78" t="s">
        <v>666</v>
      </c>
      <c r="G78" t="s">
        <v>665</v>
      </c>
      <c r="I78" t="s">
        <v>1017</v>
      </c>
      <c r="J78" t="s">
        <v>1196</v>
      </c>
      <c r="K78" t="s">
        <v>1586</v>
      </c>
    </row>
    <row r="79" spans="1:11" x14ac:dyDescent="0.25">
      <c r="A79" t="s">
        <v>896</v>
      </c>
      <c r="B79" t="s">
        <v>682</v>
      </c>
      <c r="C79" t="s">
        <v>144</v>
      </c>
      <c r="E79" t="s">
        <v>905</v>
      </c>
      <c r="F79" t="s">
        <v>664</v>
      </c>
      <c r="G79" t="s">
        <v>663</v>
      </c>
      <c r="I79" t="s">
        <v>1018</v>
      </c>
      <c r="J79" t="s">
        <v>1197</v>
      </c>
      <c r="K79" t="s">
        <v>1587</v>
      </c>
    </row>
    <row r="80" spans="1:11" x14ac:dyDescent="0.25">
      <c r="A80" t="s">
        <v>897</v>
      </c>
      <c r="B80" t="s">
        <v>1079</v>
      </c>
      <c r="C80" t="s">
        <v>374</v>
      </c>
      <c r="E80" t="s">
        <v>906</v>
      </c>
      <c r="F80" t="s">
        <v>662</v>
      </c>
      <c r="G80" t="s">
        <v>661</v>
      </c>
      <c r="I80" t="s">
        <v>1019</v>
      </c>
      <c r="J80" t="s">
        <v>1198</v>
      </c>
      <c r="K80" t="s">
        <v>1588</v>
      </c>
    </row>
    <row r="81" spans="1:11" x14ac:dyDescent="0.25">
      <c r="A81" t="s">
        <v>898</v>
      </c>
      <c r="B81" t="s">
        <v>676</v>
      </c>
      <c r="C81" t="s">
        <v>375</v>
      </c>
      <c r="E81" t="s">
        <v>907</v>
      </c>
      <c r="F81" t="s">
        <v>660</v>
      </c>
      <c r="G81" t="s">
        <v>659</v>
      </c>
      <c r="I81" t="s">
        <v>1020</v>
      </c>
      <c r="J81" t="s">
        <v>1199</v>
      </c>
      <c r="K81" t="s">
        <v>1589</v>
      </c>
    </row>
    <row r="82" spans="1:11" x14ac:dyDescent="0.25">
      <c r="A82" t="s">
        <v>899</v>
      </c>
      <c r="B82" t="s">
        <v>1080</v>
      </c>
      <c r="C82" t="s">
        <v>376</v>
      </c>
      <c r="E82" t="s">
        <v>908</v>
      </c>
      <c r="F82" t="s">
        <v>658</v>
      </c>
      <c r="G82" t="s">
        <v>657</v>
      </c>
      <c r="I82" t="s">
        <v>913</v>
      </c>
      <c r="J82" t="s">
        <v>1200</v>
      </c>
      <c r="K82" t="s">
        <v>1590</v>
      </c>
    </row>
    <row r="83" spans="1:11" x14ac:dyDescent="0.25">
      <c r="A83" t="s">
        <v>900</v>
      </c>
      <c r="B83" t="s">
        <v>1081</v>
      </c>
      <c r="C83" t="s">
        <v>149</v>
      </c>
      <c r="E83" t="s">
        <v>909</v>
      </c>
      <c r="F83" t="s">
        <v>656</v>
      </c>
      <c r="G83" t="s">
        <v>655</v>
      </c>
      <c r="I83" t="s">
        <v>914</v>
      </c>
      <c r="J83" t="s">
        <v>1201</v>
      </c>
      <c r="K83" t="s">
        <v>1591</v>
      </c>
    </row>
    <row r="84" spans="1:11" x14ac:dyDescent="0.25">
      <c r="A84" t="s">
        <v>901</v>
      </c>
      <c r="B84" t="s">
        <v>1082</v>
      </c>
      <c r="C84" t="s">
        <v>151</v>
      </c>
      <c r="E84" t="s">
        <v>910</v>
      </c>
      <c r="F84" t="s">
        <v>654</v>
      </c>
      <c r="G84" t="s">
        <v>653</v>
      </c>
      <c r="I84" t="s">
        <v>915</v>
      </c>
      <c r="J84" t="s">
        <v>1202</v>
      </c>
      <c r="K84" t="s">
        <v>1592</v>
      </c>
    </row>
    <row r="85" spans="1:11" x14ac:dyDescent="0.25">
      <c r="A85" t="s">
        <v>902</v>
      </c>
      <c r="B85" t="s">
        <v>1083</v>
      </c>
      <c r="C85" t="s">
        <v>153</v>
      </c>
      <c r="E85" t="s">
        <v>911</v>
      </c>
      <c r="F85" t="s">
        <v>652</v>
      </c>
      <c r="G85" t="s">
        <v>651</v>
      </c>
      <c r="I85" t="s">
        <v>916</v>
      </c>
      <c r="J85" t="s">
        <v>1203</v>
      </c>
      <c r="K85" t="s">
        <v>1593</v>
      </c>
    </row>
    <row r="86" spans="1:11" x14ac:dyDescent="0.25">
      <c r="A86" t="s">
        <v>903</v>
      </c>
      <c r="B86" t="s">
        <v>1084</v>
      </c>
      <c r="C86" t="s">
        <v>155</v>
      </c>
      <c r="E86" t="s">
        <v>912</v>
      </c>
      <c r="F86" t="s">
        <v>650</v>
      </c>
      <c r="G86" t="s">
        <v>649</v>
      </c>
      <c r="I86" t="s">
        <v>917</v>
      </c>
      <c r="J86" t="s">
        <v>1204</v>
      </c>
      <c r="K86" t="s">
        <v>1594</v>
      </c>
    </row>
    <row r="87" spans="1:11" x14ac:dyDescent="0.25">
      <c r="A87" t="s">
        <v>904</v>
      </c>
      <c r="B87" t="s">
        <v>1085</v>
      </c>
      <c r="C87" t="s">
        <v>157</v>
      </c>
      <c r="E87" t="s">
        <v>1017</v>
      </c>
      <c r="F87" t="s">
        <v>648</v>
      </c>
      <c r="G87" t="s">
        <v>647</v>
      </c>
      <c r="I87" t="s">
        <v>918</v>
      </c>
      <c r="J87" t="s">
        <v>1205</v>
      </c>
      <c r="K87" t="s">
        <v>1595</v>
      </c>
    </row>
    <row r="88" spans="1:11" x14ac:dyDescent="0.25">
      <c r="A88" t="s">
        <v>905</v>
      </c>
      <c r="B88" t="s">
        <v>664</v>
      </c>
      <c r="C88" t="s">
        <v>160</v>
      </c>
      <c r="E88" t="s">
        <v>1018</v>
      </c>
      <c r="F88" t="s">
        <v>646</v>
      </c>
      <c r="G88" t="s">
        <v>645</v>
      </c>
      <c r="I88" t="s">
        <v>919</v>
      </c>
      <c r="J88" t="s">
        <v>1206</v>
      </c>
      <c r="K88" t="s">
        <v>1596</v>
      </c>
    </row>
    <row r="89" spans="1:11" x14ac:dyDescent="0.25">
      <c r="A89" t="s">
        <v>906</v>
      </c>
      <c r="B89" t="s">
        <v>662</v>
      </c>
      <c r="C89" t="s">
        <v>162</v>
      </c>
      <c r="E89" t="s">
        <v>1019</v>
      </c>
      <c r="F89" t="s">
        <v>644</v>
      </c>
      <c r="G89" t="s">
        <v>643</v>
      </c>
      <c r="I89" t="s">
        <v>920</v>
      </c>
      <c r="J89" t="s">
        <v>1207</v>
      </c>
      <c r="K89" t="s">
        <v>1597</v>
      </c>
    </row>
    <row r="90" spans="1:11" x14ac:dyDescent="0.25">
      <c r="A90" t="s">
        <v>907</v>
      </c>
      <c r="B90" t="s">
        <v>660</v>
      </c>
      <c r="C90" t="s">
        <v>164</v>
      </c>
      <c r="E90" t="s">
        <v>1020</v>
      </c>
      <c r="F90" t="s">
        <v>642</v>
      </c>
      <c r="G90" t="s">
        <v>641</v>
      </c>
      <c r="I90" t="s">
        <v>921</v>
      </c>
      <c r="J90" t="s">
        <v>1208</v>
      </c>
      <c r="K90" t="s">
        <v>1598</v>
      </c>
    </row>
    <row r="91" spans="1:11" x14ac:dyDescent="0.25">
      <c r="A91" t="s">
        <v>908</v>
      </c>
      <c r="B91" t="s">
        <v>1086</v>
      </c>
      <c r="C91" t="s">
        <v>377</v>
      </c>
      <c r="E91" t="s">
        <v>913</v>
      </c>
      <c r="F91" t="s">
        <v>640</v>
      </c>
      <c r="G91" t="s">
        <v>639</v>
      </c>
      <c r="I91" t="s">
        <v>922</v>
      </c>
      <c r="J91" t="s">
        <v>1209</v>
      </c>
      <c r="K91" t="s">
        <v>1599</v>
      </c>
    </row>
    <row r="92" spans="1:11" x14ac:dyDescent="0.25">
      <c r="A92" t="s">
        <v>909</v>
      </c>
      <c r="B92" t="s">
        <v>656</v>
      </c>
      <c r="C92" t="s">
        <v>167</v>
      </c>
      <c r="E92" t="s">
        <v>914</v>
      </c>
      <c r="F92" t="s">
        <v>638</v>
      </c>
      <c r="G92" t="s">
        <v>637</v>
      </c>
      <c r="I92" t="s">
        <v>923</v>
      </c>
      <c r="J92" t="s">
        <v>1210</v>
      </c>
      <c r="K92" t="s">
        <v>1600</v>
      </c>
    </row>
    <row r="93" spans="1:11" x14ac:dyDescent="0.25">
      <c r="A93" t="s">
        <v>910</v>
      </c>
      <c r="B93" t="s">
        <v>654</v>
      </c>
      <c r="C93" t="s">
        <v>169</v>
      </c>
      <c r="E93" t="s">
        <v>915</v>
      </c>
      <c r="F93" t="s">
        <v>636</v>
      </c>
      <c r="G93" t="s">
        <v>635</v>
      </c>
      <c r="I93" t="s">
        <v>1021</v>
      </c>
      <c r="J93" t="s">
        <v>1211</v>
      </c>
      <c r="K93" t="s">
        <v>1601</v>
      </c>
    </row>
    <row r="94" spans="1:11" x14ac:dyDescent="0.25">
      <c r="A94" t="s">
        <v>911</v>
      </c>
      <c r="B94" t="s">
        <v>642</v>
      </c>
      <c r="C94" t="s">
        <v>378</v>
      </c>
      <c r="E94" t="s">
        <v>916</v>
      </c>
      <c r="F94" t="s">
        <v>634</v>
      </c>
      <c r="G94" t="s">
        <v>633</v>
      </c>
      <c r="I94" t="s">
        <v>1022</v>
      </c>
      <c r="J94" t="s">
        <v>1212</v>
      </c>
      <c r="K94" t="s">
        <v>1602</v>
      </c>
    </row>
    <row r="95" spans="1:11" x14ac:dyDescent="0.25">
      <c r="A95" t="s">
        <v>912</v>
      </c>
      <c r="B95" t="s">
        <v>1087</v>
      </c>
      <c r="C95" t="s">
        <v>172</v>
      </c>
      <c r="E95" t="s">
        <v>917</v>
      </c>
      <c r="F95" t="s">
        <v>632</v>
      </c>
      <c r="G95" t="s">
        <v>631</v>
      </c>
      <c r="I95" t="s">
        <v>924</v>
      </c>
      <c r="J95" t="s">
        <v>1213</v>
      </c>
      <c r="K95" t="s">
        <v>1603</v>
      </c>
    </row>
    <row r="96" spans="1:11" x14ac:dyDescent="0.25">
      <c r="A96" t="s">
        <v>913</v>
      </c>
      <c r="B96" t="s">
        <v>640</v>
      </c>
      <c r="C96" t="s">
        <v>175</v>
      </c>
      <c r="E96" t="s">
        <v>918</v>
      </c>
      <c r="F96" t="s">
        <v>630</v>
      </c>
      <c r="G96" t="s">
        <v>629</v>
      </c>
      <c r="I96" t="s">
        <v>925</v>
      </c>
      <c r="J96" t="s">
        <v>1214</v>
      </c>
      <c r="K96" t="s">
        <v>1604</v>
      </c>
    </row>
    <row r="97" spans="1:11" x14ac:dyDescent="0.25">
      <c r="A97" t="s">
        <v>914</v>
      </c>
      <c r="B97" t="s">
        <v>638</v>
      </c>
      <c r="C97" t="s">
        <v>379</v>
      </c>
      <c r="E97" t="s">
        <v>919</v>
      </c>
      <c r="F97" t="s">
        <v>628</v>
      </c>
      <c r="G97" t="s">
        <v>627</v>
      </c>
      <c r="I97" t="s">
        <v>926</v>
      </c>
      <c r="J97" t="s">
        <v>1215</v>
      </c>
      <c r="K97" t="s">
        <v>1605</v>
      </c>
    </row>
    <row r="98" spans="1:11" x14ac:dyDescent="0.25">
      <c r="A98" t="s">
        <v>915</v>
      </c>
      <c r="B98" t="s">
        <v>1088</v>
      </c>
      <c r="C98" t="s">
        <v>380</v>
      </c>
      <c r="E98" t="s">
        <v>920</v>
      </c>
      <c r="F98" t="s">
        <v>626</v>
      </c>
      <c r="G98" t="s">
        <v>625</v>
      </c>
      <c r="I98" t="s">
        <v>927</v>
      </c>
      <c r="J98" t="s">
        <v>1216</v>
      </c>
      <c r="K98" t="s">
        <v>1606</v>
      </c>
    </row>
    <row r="99" spans="1:11" x14ac:dyDescent="0.25">
      <c r="A99" t="s">
        <v>916</v>
      </c>
      <c r="B99" t="s">
        <v>1089</v>
      </c>
      <c r="C99" t="s">
        <v>179</v>
      </c>
      <c r="E99" t="s">
        <v>921</v>
      </c>
      <c r="F99" t="s">
        <v>624</v>
      </c>
      <c r="G99" t="s">
        <v>623</v>
      </c>
      <c r="I99" t="s">
        <v>928</v>
      </c>
      <c r="J99" t="s">
        <v>1217</v>
      </c>
      <c r="K99" t="s">
        <v>1607</v>
      </c>
    </row>
    <row r="100" spans="1:11" x14ac:dyDescent="0.25">
      <c r="A100" t="s">
        <v>917</v>
      </c>
      <c r="B100" t="s">
        <v>1090</v>
      </c>
      <c r="C100" t="s">
        <v>181</v>
      </c>
      <c r="E100" t="s">
        <v>922</v>
      </c>
      <c r="F100" t="s">
        <v>622</v>
      </c>
      <c r="G100" t="s">
        <v>621</v>
      </c>
      <c r="I100" t="s">
        <v>929</v>
      </c>
      <c r="J100" t="s">
        <v>1218</v>
      </c>
      <c r="K100" t="s">
        <v>1608</v>
      </c>
    </row>
    <row r="101" spans="1:11" x14ac:dyDescent="0.25">
      <c r="A101" t="s">
        <v>918</v>
      </c>
      <c r="B101" t="s">
        <v>1091</v>
      </c>
      <c r="C101" t="s">
        <v>381</v>
      </c>
      <c r="E101" t="s">
        <v>923</v>
      </c>
      <c r="F101" t="s">
        <v>620</v>
      </c>
      <c r="G101" t="s">
        <v>619</v>
      </c>
      <c r="I101" t="s">
        <v>930</v>
      </c>
      <c r="J101" t="s">
        <v>1219</v>
      </c>
      <c r="K101" t="s">
        <v>1609</v>
      </c>
    </row>
    <row r="102" spans="1:11" x14ac:dyDescent="0.25">
      <c r="A102" t="s">
        <v>919</v>
      </c>
      <c r="B102" t="s">
        <v>1092</v>
      </c>
      <c r="C102" t="s">
        <v>382</v>
      </c>
      <c r="E102" t="s">
        <v>1021</v>
      </c>
      <c r="F102" t="s">
        <v>618</v>
      </c>
      <c r="G102" t="s">
        <v>617</v>
      </c>
      <c r="I102" t="s">
        <v>931</v>
      </c>
      <c r="J102" t="s">
        <v>1220</v>
      </c>
      <c r="K102" t="s">
        <v>1610</v>
      </c>
    </row>
    <row r="103" spans="1:11" x14ac:dyDescent="0.25">
      <c r="A103" t="s">
        <v>920</v>
      </c>
      <c r="B103" t="s">
        <v>1093</v>
      </c>
      <c r="C103" t="s">
        <v>383</v>
      </c>
      <c r="E103" t="s">
        <v>1022</v>
      </c>
      <c r="F103" t="s">
        <v>616</v>
      </c>
      <c r="G103" t="s">
        <v>615</v>
      </c>
      <c r="I103" t="s">
        <v>932</v>
      </c>
      <c r="J103" t="s">
        <v>1221</v>
      </c>
      <c r="K103" t="s">
        <v>1611</v>
      </c>
    </row>
    <row r="104" spans="1:11" x14ac:dyDescent="0.25">
      <c r="A104" t="s">
        <v>921</v>
      </c>
      <c r="B104" t="s">
        <v>1094</v>
      </c>
      <c r="C104" t="s">
        <v>384</v>
      </c>
      <c r="E104" t="s">
        <v>924</v>
      </c>
      <c r="F104" t="s">
        <v>614</v>
      </c>
      <c r="G104" t="s">
        <v>613</v>
      </c>
      <c r="I104" t="s">
        <v>933</v>
      </c>
      <c r="J104" t="s">
        <v>1222</v>
      </c>
      <c r="K104" t="s">
        <v>1612</v>
      </c>
    </row>
    <row r="105" spans="1:11" x14ac:dyDescent="0.25">
      <c r="A105" t="s">
        <v>922</v>
      </c>
      <c r="B105" t="s">
        <v>1095</v>
      </c>
      <c r="C105" t="s">
        <v>385</v>
      </c>
      <c r="E105" t="s">
        <v>925</v>
      </c>
      <c r="F105" t="s">
        <v>612</v>
      </c>
      <c r="G105" t="s">
        <v>611</v>
      </c>
      <c r="I105" t="s">
        <v>934</v>
      </c>
      <c r="J105" t="s">
        <v>1223</v>
      </c>
      <c r="K105" t="s">
        <v>1613</v>
      </c>
    </row>
    <row r="106" spans="1:11" x14ac:dyDescent="0.25">
      <c r="A106" t="s">
        <v>923</v>
      </c>
      <c r="B106" t="s">
        <v>1096</v>
      </c>
      <c r="C106" t="s">
        <v>188</v>
      </c>
      <c r="E106" t="s">
        <v>926</v>
      </c>
      <c r="F106" t="s">
        <v>610</v>
      </c>
      <c r="G106" t="s">
        <v>609</v>
      </c>
      <c r="I106" t="s">
        <v>935</v>
      </c>
      <c r="J106" t="s">
        <v>1224</v>
      </c>
      <c r="K106" t="s">
        <v>1614</v>
      </c>
    </row>
    <row r="107" spans="1:11" x14ac:dyDescent="0.25">
      <c r="A107" t="s">
        <v>924</v>
      </c>
      <c r="B107" t="s">
        <v>614</v>
      </c>
      <c r="C107" t="s">
        <v>191</v>
      </c>
      <c r="E107" t="s">
        <v>927</v>
      </c>
      <c r="F107" t="s">
        <v>608</v>
      </c>
      <c r="G107" t="s">
        <v>607</v>
      </c>
      <c r="I107" t="s">
        <v>1023</v>
      </c>
      <c r="J107" t="s">
        <v>1225</v>
      </c>
      <c r="K107" t="s">
        <v>1615</v>
      </c>
    </row>
    <row r="108" spans="1:11" x14ac:dyDescent="0.25">
      <c r="A108" t="s">
        <v>925</v>
      </c>
      <c r="B108" t="s">
        <v>1097</v>
      </c>
      <c r="C108" t="s">
        <v>193</v>
      </c>
      <c r="E108" t="s">
        <v>928</v>
      </c>
      <c r="F108" t="s">
        <v>606</v>
      </c>
      <c r="G108" t="s">
        <v>605</v>
      </c>
      <c r="I108" t="s">
        <v>1024</v>
      </c>
      <c r="J108" t="s">
        <v>1226</v>
      </c>
      <c r="K108" t="s">
        <v>1616</v>
      </c>
    </row>
    <row r="109" spans="1:11" x14ac:dyDescent="0.25">
      <c r="A109" t="s">
        <v>926</v>
      </c>
      <c r="B109" t="s">
        <v>610</v>
      </c>
      <c r="C109" t="s">
        <v>195</v>
      </c>
      <c r="E109" t="s">
        <v>929</v>
      </c>
      <c r="F109" t="s">
        <v>604</v>
      </c>
      <c r="G109" t="s">
        <v>603</v>
      </c>
      <c r="I109" t="s">
        <v>936</v>
      </c>
      <c r="J109" t="s">
        <v>1227</v>
      </c>
      <c r="K109" t="s">
        <v>1617</v>
      </c>
    </row>
    <row r="110" spans="1:11" x14ac:dyDescent="0.25">
      <c r="A110" t="s">
        <v>927</v>
      </c>
      <c r="B110" t="s">
        <v>1098</v>
      </c>
      <c r="C110" t="s">
        <v>386</v>
      </c>
      <c r="E110" t="s">
        <v>930</v>
      </c>
      <c r="F110" t="s">
        <v>602</v>
      </c>
      <c r="G110" t="s">
        <v>601</v>
      </c>
      <c r="I110" t="s">
        <v>937</v>
      </c>
      <c r="J110" t="s">
        <v>1228</v>
      </c>
      <c r="K110" t="s">
        <v>1618</v>
      </c>
    </row>
    <row r="111" spans="1:11" x14ac:dyDescent="0.25">
      <c r="A111" t="s">
        <v>928</v>
      </c>
      <c r="B111" t="s">
        <v>606</v>
      </c>
      <c r="C111" t="s">
        <v>198</v>
      </c>
      <c r="E111" t="s">
        <v>931</v>
      </c>
      <c r="F111" t="s">
        <v>600</v>
      </c>
      <c r="G111" t="s">
        <v>599</v>
      </c>
      <c r="I111" t="s">
        <v>938</v>
      </c>
      <c r="J111" t="s">
        <v>1229</v>
      </c>
      <c r="K111" t="s">
        <v>1619</v>
      </c>
    </row>
    <row r="112" spans="1:11" x14ac:dyDescent="0.25">
      <c r="A112" t="s">
        <v>929</v>
      </c>
      <c r="B112" t="s">
        <v>604</v>
      </c>
      <c r="C112" t="s">
        <v>200</v>
      </c>
      <c r="E112" t="s">
        <v>932</v>
      </c>
      <c r="F112" t="s">
        <v>598</v>
      </c>
      <c r="G112" t="s">
        <v>597</v>
      </c>
      <c r="I112" t="s">
        <v>939</v>
      </c>
      <c r="J112" t="s">
        <v>1230</v>
      </c>
      <c r="K112" t="s">
        <v>1620</v>
      </c>
    </row>
    <row r="113" spans="1:11" x14ac:dyDescent="0.25">
      <c r="A113" t="s">
        <v>930</v>
      </c>
      <c r="B113" t="s">
        <v>1099</v>
      </c>
      <c r="C113" t="s">
        <v>202</v>
      </c>
      <c r="E113" t="s">
        <v>933</v>
      </c>
      <c r="F113" t="s">
        <v>596</v>
      </c>
      <c r="G113" t="s">
        <v>595</v>
      </c>
      <c r="I113" t="s">
        <v>940</v>
      </c>
      <c r="J113" t="s">
        <v>1231</v>
      </c>
      <c r="K113" t="s">
        <v>1621</v>
      </c>
    </row>
    <row r="114" spans="1:11" x14ac:dyDescent="0.25">
      <c r="A114" t="s">
        <v>931</v>
      </c>
      <c r="B114" t="s">
        <v>600</v>
      </c>
      <c r="C114" t="s">
        <v>387</v>
      </c>
      <c r="E114" t="s">
        <v>934</v>
      </c>
      <c r="F114" t="s">
        <v>594</v>
      </c>
      <c r="G114" t="s">
        <v>593</v>
      </c>
      <c r="I114" t="s">
        <v>941</v>
      </c>
      <c r="J114" t="s">
        <v>1232</v>
      </c>
      <c r="K114" t="s">
        <v>1622</v>
      </c>
    </row>
    <row r="115" spans="1:11" x14ac:dyDescent="0.25">
      <c r="A115" t="s">
        <v>932</v>
      </c>
      <c r="B115" t="s">
        <v>1100</v>
      </c>
      <c r="C115" t="s">
        <v>388</v>
      </c>
      <c r="E115" t="s">
        <v>935</v>
      </c>
      <c r="F115" t="s">
        <v>592</v>
      </c>
      <c r="G115" t="s">
        <v>591</v>
      </c>
      <c r="I115" t="s">
        <v>942</v>
      </c>
      <c r="J115" t="s">
        <v>1233</v>
      </c>
      <c r="K115" t="s">
        <v>1623</v>
      </c>
    </row>
    <row r="116" spans="1:11" x14ac:dyDescent="0.25">
      <c r="A116" t="s">
        <v>933</v>
      </c>
      <c r="B116" t="s">
        <v>1101</v>
      </c>
      <c r="C116" t="s">
        <v>206</v>
      </c>
      <c r="E116" t="s">
        <v>1023</v>
      </c>
      <c r="F116" t="s">
        <v>590</v>
      </c>
      <c r="G116" t="s">
        <v>589</v>
      </c>
      <c r="I116" t="s">
        <v>943</v>
      </c>
      <c r="J116" t="s">
        <v>1234</v>
      </c>
      <c r="K116" t="s">
        <v>1624</v>
      </c>
    </row>
    <row r="117" spans="1:11" x14ac:dyDescent="0.25">
      <c r="A117" t="s">
        <v>934</v>
      </c>
      <c r="B117" t="s">
        <v>1102</v>
      </c>
      <c r="C117" t="s">
        <v>208</v>
      </c>
      <c r="E117" t="s">
        <v>1024</v>
      </c>
      <c r="F117" t="s">
        <v>588</v>
      </c>
      <c r="G117" t="s">
        <v>587</v>
      </c>
      <c r="I117" t="s">
        <v>943</v>
      </c>
      <c r="J117" t="s">
        <v>1235</v>
      </c>
      <c r="K117" t="s">
        <v>1625</v>
      </c>
    </row>
    <row r="118" spans="1:11" x14ac:dyDescent="0.25">
      <c r="A118" t="s">
        <v>935</v>
      </c>
      <c r="B118" t="s">
        <v>1103</v>
      </c>
      <c r="C118" t="s">
        <v>210</v>
      </c>
      <c r="E118" t="s">
        <v>936</v>
      </c>
      <c r="F118" t="s">
        <v>586</v>
      </c>
      <c r="G118" t="s">
        <v>585</v>
      </c>
      <c r="I118" t="s">
        <v>944</v>
      </c>
      <c r="J118" t="s">
        <v>1236</v>
      </c>
      <c r="K118" t="s">
        <v>1626</v>
      </c>
    </row>
    <row r="119" spans="1:11" x14ac:dyDescent="0.25">
      <c r="A119" t="s">
        <v>936</v>
      </c>
      <c r="B119" t="s">
        <v>586</v>
      </c>
      <c r="C119" t="s">
        <v>213</v>
      </c>
      <c r="E119" t="s">
        <v>937</v>
      </c>
      <c r="F119" t="s">
        <v>584</v>
      </c>
      <c r="G119" t="s">
        <v>583</v>
      </c>
      <c r="I119" t="s">
        <v>944</v>
      </c>
      <c r="J119" t="s">
        <v>1237</v>
      </c>
      <c r="K119" t="s">
        <v>1627</v>
      </c>
    </row>
    <row r="120" spans="1:11" x14ac:dyDescent="0.25">
      <c r="A120" t="s">
        <v>937</v>
      </c>
      <c r="B120" t="s">
        <v>584</v>
      </c>
      <c r="C120" t="s">
        <v>215</v>
      </c>
      <c r="E120" t="s">
        <v>938</v>
      </c>
      <c r="F120" t="s">
        <v>582</v>
      </c>
      <c r="G120" t="s">
        <v>581</v>
      </c>
      <c r="I120" t="s">
        <v>1025</v>
      </c>
      <c r="J120" t="s">
        <v>1238</v>
      </c>
      <c r="K120" t="s">
        <v>1628</v>
      </c>
    </row>
    <row r="121" spans="1:11" x14ac:dyDescent="0.25">
      <c r="A121" t="s">
        <v>938</v>
      </c>
      <c r="B121" t="s">
        <v>582</v>
      </c>
      <c r="C121" t="s">
        <v>217</v>
      </c>
      <c r="E121" t="s">
        <v>939</v>
      </c>
      <c r="F121" t="s">
        <v>580</v>
      </c>
      <c r="G121" t="s">
        <v>579</v>
      </c>
      <c r="I121" t="s">
        <v>1025</v>
      </c>
      <c r="J121" t="s">
        <v>1239</v>
      </c>
      <c r="K121" t="s">
        <v>1629</v>
      </c>
    </row>
    <row r="122" spans="1:11" x14ac:dyDescent="0.25">
      <c r="A122" t="s">
        <v>939</v>
      </c>
      <c r="B122" t="s">
        <v>580</v>
      </c>
      <c r="C122" t="s">
        <v>389</v>
      </c>
      <c r="E122" t="s">
        <v>940</v>
      </c>
      <c r="F122" t="s">
        <v>578</v>
      </c>
      <c r="G122" t="s">
        <v>577</v>
      </c>
      <c r="I122" t="s">
        <v>1026</v>
      </c>
      <c r="J122" t="s">
        <v>1240</v>
      </c>
      <c r="K122" t="s">
        <v>1630</v>
      </c>
    </row>
    <row r="123" spans="1:11" x14ac:dyDescent="0.25">
      <c r="A123" t="s">
        <v>940</v>
      </c>
      <c r="B123" t="s">
        <v>578</v>
      </c>
      <c r="C123" t="s">
        <v>390</v>
      </c>
      <c r="E123" t="s">
        <v>941</v>
      </c>
      <c r="F123" t="s">
        <v>576</v>
      </c>
      <c r="G123" t="s">
        <v>575</v>
      </c>
      <c r="I123" t="s">
        <v>1026</v>
      </c>
      <c r="J123" t="s">
        <v>1241</v>
      </c>
      <c r="K123" t="s">
        <v>1631</v>
      </c>
    </row>
    <row r="124" spans="1:11" x14ac:dyDescent="0.25">
      <c r="A124" t="s">
        <v>941</v>
      </c>
      <c r="B124" t="s">
        <v>576</v>
      </c>
      <c r="C124" t="s">
        <v>221</v>
      </c>
      <c r="E124" t="s">
        <v>942</v>
      </c>
      <c r="F124" t="s">
        <v>574</v>
      </c>
      <c r="G124" t="s">
        <v>573</v>
      </c>
      <c r="I124" t="s">
        <v>1027</v>
      </c>
      <c r="J124" t="s">
        <v>1242</v>
      </c>
      <c r="K124" t="s">
        <v>1632</v>
      </c>
    </row>
    <row r="125" spans="1:11" x14ac:dyDescent="0.25">
      <c r="A125" t="s">
        <v>942</v>
      </c>
      <c r="B125" t="s">
        <v>574</v>
      </c>
      <c r="C125" t="s">
        <v>223</v>
      </c>
      <c r="E125" t="s">
        <v>943</v>
      </c>
      <c r="F125" t="s">
        <v>572</v>
      </c>
      <c r="G125" t="s">
        <v>571</v>
      </c>
      <c r="I125" t="s">
        <v>1027</v>
      </c>
      <c r="J125" t="s">
        <v>1243</v>
      </c>
      <c r="K125" t="s">
        <v>1633</v>
      </c>
    </row>
    <row r="126" spans="1:11" x14ac:dyDescent="0.25">
      <c r="A126" t="s">
        <v>943</v>
      </c>
      <c r="B126" t="s">
        <v>1104</v>
      </c>
      <c r="C126" t="s">
        <v>225</v>
      </c>
      <c r="E126" t="s">
        <v>944</v>
      </c>
      <c r="F126" t="s">
        <v>570</v>
      </c>
      <c r="G126" t="s">
        <v>569</v>
      </c>
      <c r="I126" t="s">
        <v>945</v>
      </c>
      <c r="J126" t="s">
        <v>1244</v>
      </c>
      <c r="K126" t="s">
        <v>1634</v>
      </c>
    </row>
    <row r="127" spans="1:11" x14ac:dyDescent="0.25">
      <c r="A127" t="s">
        <v>944</v>
      </c>
      <c r="B127" t="s">
        <v>1105</v>
      </c>
      <c r="C127" t="s">
        <v>227</v>
      </c>
      <c r="E127" t="s">
        <v>1025</v>
      </c>
      <c r="F127" t="s">
        <v>568</v>
      </c>
      <c r="G127" t="s">
        <v>567</v>
      </c>
      <c r="I127" t="s">
        <v>946</v>
      </c>
      <c r="J127" t="s">
        <v>1245</v>
      </c>
      <c r="K127" t="s">
        <v>1635</v>
      </c>
    </row>
    <row r="128" spans="1:11" x14ac:dyDescent="0.25">
      <c r="A128" t="s">
        <v>945</v>
      </c>
      <c r="B128" t="s">
        <v>562</v>
      </c>
      <c r="C128" t="s">
        <v>391</v>
      </c>
      <c r="E128" t="s">
        <v>1026</v>
      </c>
      <c r="F128" t="s">
        <v>566</v>
      </c>
      <c r="G128" t="s">
        <v>565</v>
      </c>
      <c r="I128" t="s">
        <v>947</v>
      </c>
      <c r="J128" t="s">
        <v>1246</v>
      </c>
      <c r="K128" t="s">
        <v>1636</v>
      </c>
    </row>
    <row r="129" spans="1:11" x14ac:dyDescent="0.25">
      <c r="A129" t="s">
        <v>946</v>
      </c>
      <c r="B129" t="s">
        <v>560</v>
      </c>
      <c r="C129" t="s">
        <v>231</v>
      </c>
      <c r="E129" t="s">
        <v>1027</v>
      </c>
      <c r="F129" t="s">
        <v>564</v>
      </c>
      <c r="G129" t="s">
        <v>563</v>
      </c>
      <c r="I129" t="s">
        <v>948</v>
      </c>
      <c r="J129" t="s">
        <v>1247</v>
      </c>
      <c r="K129" t="s">
        <v>1637</v>
      </c>
    </row>
    <row r="130" spans="1:11" x14ac:dyDescent="0.25">
      <c r="A130" t="s">
        <v>947</v>
      </c>
      <c r="B130" t="s">
        <v>558</v>
      </c>
      <c r="C130" t="s">
        <v>233</v>
      </c>
      <c r="E130" t="s">
        <v>945</v>
      </c>
      <c r="F130" t="s">
        <v>562</v>
      </c>
      <c r="G130" t="s">
        <v>561</v>
      </c>
      <c r="I130" t="s">
        <v>949</v>
      </c>
      <c r="J130" t="s">
        <v>1248</v>
      </c>
      <c r="K130" t="s">
        <v>1638</v>
      </c>
    </row>
    <row r="131" spans="1:11" x14ac:dyDescent="0.25">
      <c r="A131" t="s">
        <v>948</v>
      </c>
      <c r="B131" t="s">
        <v>556</v>
      </c>
      <c r="C131" t="s">
        <v>392</v>
      </c>
      <c r="E131" t="s">
        <v>946</v>
      </c>
      <c r="F131" t="s">
        <v>560</v>
      </c>
      <c r="G131" t="s">
        <v>559</v>
      </c>
      <c r="I131" t="s">
        <v>950</v>
      </c>
      <c r="J131" t="s">
        <v>1249</v>
      </c>
      <c r="K131" t="s">
        <v>1639</v>
      </c>
    </row>
    <row r="132" spans="1:11" x14ac:dyDescent="0.25">
      <c r="A132" t="s">
        <v>949</v>
      </c>
      <c r="B132" t="s">
        <v>554</v>
      </c>
      <c r="C132" t="s">
        <v>236</v>
      </c>
      <c r="E132" t="s">
        <v>947</v>
      </c>
      <c r="F132" t="s">
        <v>558</v>
      </c>
      <c r="G132" t="s">
        <v>557</v>
      </c>
      <c r="I132" t="s">
        <v>951</v>
      </c>
      <c r="J132" t="s">
        <v>1250</v>
      </c>
      <c r="K132" t="s">
        <v>1640</v>
      </c>
    </row>
    <row r="133" spans="1:11" x14ac:dyDescent="0.25">
      <c r="A133" t="s">
        <v>950</v>
      </c>
      <c r="B133" t="s">
        <v>1106</v>
      </c>
      <c r="C133" t="s">
        <v>238</v>
      </c>
      <c r="E133" t="s">
        <v>948</v>
      </c>
      <c r="F133" t="s">
        <v>556</v>
      </c>
      <c r="G133" t="s">
        <v>555</v>
      </c>
      <c r="I133" t="s">
        <v>952</v>
      </c>
      <c r="J133" t="s">
        <v>1251</v>
      </c>
      <c r="K133" t="s">
        <v>1641</v>
      </c>
    </row>
    <row r="134" spans="1:11" x14ac:dyDescent="0.25">
      <c r="A134" t="s">
        <v>951</v>
      </c>
      <c r="B134" t="s">
        <v>550</v>
      </c>
      <c r="C134" t="s">
        <v>240</v>
      </c>
      <c r="E134" t="s">
        <v>949</v>
      </c>
      <c r="F134" t="s">
        <v>554</v>
      </c>
      <c r="G134" t="s">
        <v>553</v>
      </c>
      <c r="I134" t="s">
        <v>1028</v>
      </c>
      <c r="J134" t="s">
        <v>1252</v>
      </c>
      <c r="K134" t="s">
        <v>1642</v>
      </c>
    </row>
    <row r="135" spans="1:11" x14ac:dyDescent="0.25">
      <c r="A135" t="s">
        <v>952</v>
      </c>
      <c r="B135" t="s">
        <v>548</v>
      </c>
      <c r="C135" t="s">
        <v>393</v>
      </c>
      <c r="E135" t="s">
        <v>950</v>
      </c>
      <c r="F135" t="s">
        <v>552</v>
      </c>
      <c r="G135" t="s">
        <v>551</v>
      </c>
      <c r="I135" t="s">
        <v>1029</v>
      </c>
      <c r="J135" t="s">
        <v>1253</v>
      </c>
      <c r="K135" t="s">
        <v>1643</v>
      </c>
    </row>
    <row r="136" spans="1:11" x14ac:dyDescent="0.25">
      <c r="A136" t="s">
        <v>953</v>
      </c>
      <c r="B136" t="s">
        <v>538</v>
      </c>
      <c r="C136" t="s">
        <v>394</v>
      </c>
      <c r="E136" t="s">
        <v>951</v>
      </c>
      <c r="F136" t="s">
        <v>550</v>
      </c>
      <c r="G136" t="s">
        <v>549</v>
      </c>
      <c r="I136" t="s">
        <v>1030</v>
      </c>
      <c r="J136" t="s">
        <v>1254</v>
      </c>
      <c r="K136" t="s">
        <v>1644</v>
      </c>
    </row>
    <row r="137" spans="1:11" x14ac:dyDescent="0.25">
      <c r="A137" t="s">
        <v>954</v>
      </c>
      <c r="B137" t="s">
        <v>536</v>
      </c>
      <c r="C137" t="s">
        <v>395</v>
      </c>
      <c r="E137" t="s">
        <v>952</v>
      </c>
      <c r="F137" t="s">
        <v>548</v>
      </c>
      <c r="G137" t="s">
        <v>547</v>
      </c>
      <c r="I137" t="s">
        <v>1031</v>
      </c>
      <c r="J137" t="s">
        <v>1255</v>
      </c>
      <c r="K137" t="s">
        <v>1645</v>
      </c>
    </row>
    <row r="138" spans="1:11" x14ac:dyDescent="0.25">
      <c r="A138" t="s">
        <v>955</v>
      </c>
      <c r="B138" t="s">
        <v>534</v>
      </c>
      <c r="C138" t="s">
        <v>246</v>
      </c>
      <c r="E138" t="s">
        <v>1028</v>
      </c>
      <c r="F138" t="s">
        <v>546</v>
      </c>
      <c r="G138" t="s">
        <v>545</v>
      </c>
      <c r="I138" t="s">
        <v>953</v>
      </c>
      <c r="J138" t="s">
        <v>1256</v>
      </c>
      <c r="K138" t="s">
        <v>1646</v>
      </c>
    </row>
    <row r="139" spans="1:11" x14ac:dyDescent="0.25">
      <c r="A139" t="s">
        <v>956</v>
      </c>
      <c r="B139" t="s">
        <v>1107</v>
      </c>
      <c r="C139" t="s">
        <v>248</v>
      </c>
      <c r="E139" t="s">
        <v>1029</v>
      </c>
      <c r="F139" t="s">
        <v>544</v>
      </c>
      <c r="G139" t="s">
        <v>543</v>
      </c>
      <c r="I139" t="s">
        <v>954</v>
      </c>
      <c r="J139" t="s">
        <v>1257</v>
      </c>
      <c r="K139" t="s">
        <v>1647</v>
      </c>
    </row>
    <row r="140" spans="1:11" x14ac:dyDescent="0.25">
      <c r="A140" t="s">
        <v>957</v>
      </c>
      <c r="B140" t="s">
        <v>1108</v>
      </c>
      <c r="C140" t="s">
        <v>396</v>
      </c>
      <c r="E140" t="s">
        <v>1030</v>
      </c>
      <c r="F140" t="s">
        <v>542</v>
      </c>
      <c r="G140" t="s">
        <v>541</v>
      </c>
      <c r="I140" t="s">
        <v>955</v>
      </c>
      <c r="J140" t="s">
        <v>1258</v>
      </c>
      <c r="K140" t="s">
        <v>1648</v>
      </c>
    </row>
    <row r="141" spans="1:11" x14ac:dyDescent="0.25">
      <c r="A141" t="s">
        <v>958</v>
      </c>
      <c r="B141" t="s">
        <v>1109</v>
      </c>
      <c r="C141" t="s">
        <v>397</v>
      </c>
      <c r="E141" t="s">
        <v>1031</v>
      </c>
      <c r="F141" t="s">
        <v>540</v>
      </c>
      <c r="G141" t="s">
        <v>539</v>
      </c>
      <c r="I141" t="s">
        <v>956</v>
      </c>
      <c r="J141" t="s">
        <v>1259</v>
      </c>
      <c r="K141" t="s">
        <v>1649</v>
      </c>
    </row>
    <row r="142" spans="1:11" x14ac:dyDescent="0.25">
      <c r="A142" t="s">
        <v>959</v>
      </c>
      <c r="B142" t="s">
        <v>1110</v>
      </c>
      <c r="C142" t="s">
        <v>252</v>
      </c>
      <c r="E142" t="s">
        <v>953</v>
      </c>
      <c r="F142" t="s">
        <v>538</v>
      </c>
      <c r="G142" t="s">
        <v>537</v>
      </c>
      <c r="I142" t="s">
        <v>957</v>
      </c>
      <c r="J142" t="s">
        <v>1260</v>
      </c>
      <c r="K142" t="s">
        <v>1650</v>
      </c>
    </row>
    <row r="143" spans="1:11" x14ac:dyDescent="0.25">
      <c r="A143" t="s">
        <v>960</v>
      </c>
      <c r="B143" t="s">
        <v>1111</v>
      </c>
      <c r="C143" t="s">
        <v>254</v>
      </c>
      <c r="E143" t="s">
        <v>954</v>
      </c>
      <c r="F143" t="s">
        <v>536</v>
      </c>
      <c r="G143" t="s">
        <v>535</v>
      </c>
      <c r="I143" t="s">
        <v>958</v>
      </c>
      <c r="J143" t="s">
        <v>1261</v>
      </c>
      <c r="K143" t="s">
        <v>1651</v>
      </c>
    </row>
    <row r="144" spans="1:11" x14ac:dyDescent="0.25">
      <c r="A144" t="s">
        <v>961</v>
      </c>
      <c r="B144" t="s">
        <v>1112</v>
      </c>
      <c r="C144" t="s">
        <v>256</v>
      </c>
      <c r="E144" t="s">
        <v>955</v>
      </c>
      <c r="F144" t="s">
        <v>534</v>
      </c>
      <c r="G144" t="s">
        <v>533</v>
      </c>
      <c r="I144" t="s">
        <v>959</v>
      </c>
      <c r="J144" t="s">
        <v>1262</v>
      </c>
      <c r="K144" t="s">
        <v>1652</v>
      </c>
    </row>
    <row r="145" spans="1:11" x14ac:dyDescent="0.25">
      <c r="A145" t="s">
        <v>962</v>
      </c>
      <c r="B145" t="s">
        <v>516</v>
      </c>
      <c r="C145" t="s">
        <v>398</v>
      </c>
      <c r="E145" t="s">
        <v>956</v>
      </c>
      <c r="F145" t="s">
        <v>532</v>
      </c>
      <c r="G145" t="s">
        <v>531</v>
      </c>
      <c r="I145" t="s">
        <v>960</v>
      </c>
      <c r="J145" t="s">
        <v>1263</v>
      </c>
      <c r="K145" t="s">
        <v>1653</v>
      </c>
    </row>
    <row r="146" spans="1:11" x14ac:dyDescent="0.25">
      <c r="A146" t="s">
        <v>963</v>
      </c>
      <c r="B146" t="s">
        <v>514</v>
      </c>
      <c r="C146" t="s">
        <v>399</v>
      </c>
      <c r="E146" t="s">
        <v>957</v>
      </c>
      <c r="F146" t="s">
        <v>530</v>
      </c>
      <c r="G146" t="s">
        <v>529</v>
      </c>
      <c r="I146" t="s">
        <v>961</v>
      </c>
      <c r="J146" t="s">
        <v>1264</v>
      </c>
      <c r="K146" t="s">
        <v>1654</v>
      </c>
    </row>
    <row r="147" spans="1:11" x14ac:dyDescent="0.25">
      <c r="A147" t="s">
        <v>964</v>
      </c>
      <c r="B147" t="s">
        <v>512</v>
      </c>
      <c r="C147" t="s">
        <v>261</v>
      </c>
      <c r="E147" t="s">
        <v>958</v>
      </c>
      <c r="F147" t="s">
        <v>528</v>
      </c>
      <c r="G147" t="s">
        <v>527</v>
      </c>
      <c r="I147" t="s">
        <v>1032</v>
      </c>
      <c r="J147" t="s">
        <v>1265</v>
      </c>
      <c r="K147" t="s">
        <v>1655</v>
      </c>
    </row>
    <row r="148" spans="1:11" x14ac:dyDescent="0.25">
      <c r="A148" t="s">
        <v>965</v>
      </c>
      <c r="B148" t="s">
        <v>510</v>
      </c>
      <c r="C148" t="s">
        <v>263</v>
      </c>
      <c r="E148" t="s">
        <v>959</v>
      </c>
      <c r="F148" t="s">
        <v>526</v>
      </c>
      <c r="G148" t="s">
        <v>525</v>
      </c>
      <c r="I148" t="s">
        <v>1033</v>
      </c>
      <c r="J148" t="s">
        <v>1266</v>
      </c>
      <c r="K148" t="s">
        <v>1656</v>
      </c>
    </row>
    <row r="149" spans="1:11" x14ac:dyDescent="0.25">
      <c r="A149" t="s">
        <v>966</v>
      </c>
      <c r="B149" t="s">
        <v>508</v>
      </c>
      <c r="C149" t="s">
        <v>400</v>
      </c>
      <c r="E149" t="s">
        <v>960</v>
      </c>
      <c r="F149" t="s">
        <v>524</v>
      </c>
      <c r="G149" t="s">
        <v>523</v>
      </c>
      <c r="I149" t="s">
        <v>962</v>
      </c>
      <c r="J149" t="s">
        <v>1267</v>
      </c>
      <c r="K149" t="s">
        <v>1657</v>
      </c>
    </row>
    <row r="150" spans="1:11" x14ac:dyDescent="0.25">
      <c r="A150" t="s">
        <v>967</v>
      </c>
      <c r="B150" t="s">
        <v>506</v>
      </c>
      <c r="C150" t="s">
        <v>401</v>
      </c>
      <c r="E150" t="s">
        <v>961</v>
      </c>
      <c r="F150" t="s">
        <v>522</v>
      </c>
      <c r="G150" t="s">
        <v>521</v>
      </c>
      <c r="I150" t="s">
        <v>963</v>
      </c>
      <c r="J150" t="s">
        <v>1268</v>
      </c>
      <c r="K150" t="s">
        <v>1658</v>
      </c>
    </row>
    <row r="151" spans="1:11" x14ac:dyDescent="0.25">
      <c r="A151" t="s">
        <v>968</v>
      </c>
      <c r="B151" t="s">
        <v>504</v>
      </c>
      <c r="C151" t="s">
        <v>267</v>
      </c>
      <c r="E151" t="s">
        <v>1032</v>
      </c>
      <c r="F151" t="s">
        <v>520</v>
      </c>
      <c r="G151" t="s">
        <v>519</v>
      </c>
      <c r="I151" t="s">
        <v>964</v>
      </c>
      <c r="J151" t="s">
        <v>1269</v>
      </c>
      <c r="K151" t="s">
        <v>1659</v>
      </c>
    </row>
    <row r="152" spans="1:11" x14ac:dyDescent="0.25">
      <c r="A152" t="s">
        <v>969</v>
      </c>
      <c r="B152" t="s">
        <v>502</v>
      </c>
      <c r="C152" t="s">
        <v>269</v>
      </c>
      <c r="E152" t="s">
        <v>1033</v>
      </c>
      <c r="F152" t="s">
        <v>518</v>
      </c>
      <c r="G152" t="s">
        <v>517</v>
      </c>
      <c r="I152" t="s">
        <v>965</v>
      </c>
      <c r="J152" t="s">
        <v>1270</v>
      </c>
      <c r="K152" t="s">
        <v>1660</v>
      </c>
    </row>
    <row r="153" spans="1:11" x14ac:dyDescent="0.25">
      <c r="A153" t="s">
        <v>970</v>
      </c>
      <c r="B153" t="s">
        <v>500</v>
      </c>
      <c r="C153" t="s">
        <v>271</v>
      </c>
      <c r="E153" t="s">
        <v>962</v>
      </c>
      <c r="F153" t="s">
        <v>516</v>
      </c>
      <c r="G153" t="s">
        <v>515</v>
      </c>
      <c r="I153" t="s">
        <v>966</v>
      </c>
      <c r="J153" t="s">
        <v>1271</v>
      </c>
      <c r="K153" t="s">
        <v>1661</v>
      </c>
    </row>
    <row r="154" spans="1:11" x14ac:dyDescent="0.25">
      <c r="A154" t="s">
        <v>971</v>
      </c>
      <c r="B154" t="s">
        <v>498</v>
      </c>
      <c r="C154" t="s">
        <v>402</v>
      </c>
      <c r="E154" t="s">
        <v>963</v>
      </c>
      <c r="F154" t="s">
        <v>514</v>
      </c>
      <c r="G154" t="s">
        <v>513</v>
      </c>
      <c r="I154" t="s">
        <v>967</v>
      </c>
      <c r="J154" t="s">
        <v>1272</v>
      </c>
      <c r="K154" t="s">
        <v>1662</v>
      </c>
    </row>
    <row r="155" spans="1:11" x14ac:dyDescent="0.25">
      <c r="A155" t="s">
        <v>972</v>
      </c>
      <c r="B155" t="s">
        <v>496</v>
      </c>
      <c r="C155" t="s">
        <v>403</v>
      </c>
      <c r="E155" t="s">
        <v>964</v>
      </c>
      <c r="F155" t="s">
        <v>512</v>
      </c>
      <c r="G155" t="s">
        <v>511</v>
      </c>
      <c r="I155" t="s">
        <v>968</v>
      </c>
      <c r="J155" t="s">
        <v>1273</v>
      </c>
      <c r="K155" t="s">
        <v>1663</v>
      </c>
    </row>
    <row r="156" spans="1:11" x14ac:dyDescent="0.25">
      <c r="A156" t="s">
        <v>973</v>
      </c>
      <c r="B156" t="s">
        <v>494</v>
      </c>
      <c r="C156" t="s">
        <v>276</v>
      </c>
      <c r="E156" t="s">
        <v>965</v>
      </c>
      <c r="F156" t="s">
        <v>510</v>
      </c>
      <c r="G156" t="s">
        <v>509</v>
      </c>
      <c r="I156" t="s">
        <v>969</v>
      </c>
      <c r="J156" t="s">
        <v>1274</v>
      </c>
      <c r="K156" t="s">
        <v>1664</v>
      </c>
    </row>
    <row r="157" spans="1:11" x14ac:dyDescent="0.25">
      <c r="A157" t="s">
        <v>974</v>
      </c>
      <c r="B157" t="s">
        <v>492</v>
      </c>
      <c r="C157" t="s">
        <v>278</v>
      </c>
      <c r="E157" t="s">
        <v>966</v>
      </c>
      <c r="F157" t="s">
        <v>508</v>
      </c>
      <c r="G157" t="s">
        <v>507</v>
      </c>
      <c r="I157" t="s">
        <v>970</v>
      </c>
      <c r="J157" t="s">
        <v>1275</v>
      </c>
      <c r="K157" t="s">
        <v>1665</v>
      </c>
    </row>
    <row r="158" spans="1:11" x14ac:dyDescent="0.25">
      <c r="A158" t="s">
        <v>975</v>
      </c>
      <c r="B158" t="s">
        <v>490</v>
      </c>
      <c r="C158" t="s">
        <v>280</v>
      </c>
      <c r="E158" t="s">
        <v>967</v>
      </c>
      <c r="F158" t="s">
        <v>506</v>
      </c>
      <c r="G158" t="s">
        <v>505</v>
      </c>
      <c r="I158" t="s">
        <v>971</v>
      </c>
      <c r="J158" t="s">
        <v>1276</v>
      </c>
      <c r="K158" t="s">
        <v>1666</v>
      </c>
    </row>
    <row r="159" spans="1:11" x14ac:dyDescent="0.25">
      <c r="A159" t="s">
        <v>976</v>
      </c>
      <c r="B159" t="s">
        <v>488</v>
      </c>
      <c r="C159" t="s">
        <v>404</v>
      </c>
      <c r="E159" t="s">
        <v>968</v>
      </c>
      <c r="F159" t="s">
        <v>504</v>
      </c>
      <c r="G159" t="s">
        <v>503</v>
      </c>
      <c r="I159" t="s">
        <v>972</v>
      </c>
      <c r="J159" t="s">
        <v>1117</v>
      </c>
      <c r="K159" t="s">
        <v>1667</v>
      </c>
    </row>
    <row r="160" spans="1:11" x14ac:dyDescent="0.25">
      <c r="A160" t="s">
        <v>977</v>
      </c>
      <c r="B160" t="s">
        <v>1113</v>
      </c>
      <c r="C160" t="s">
        <v>284</v>
      </c>
      <c r="E160" t="s">
        <v>969</v>
      </c>
      <c r="F160" t="s">
        <v>502</v>
      </c>
      <c r="G160" t="s">
        <v>501</v>
      </c>
      <c r="I160" t="s">
        <v>973</v>
      </c>
      <c r="J160" t="s">
        <v>1118</v>
      </c>
      <c r="K160" t="s">
        <v>1668</v>
      </c>
    </row>
    <row r="161" spans="1:11" x14ac:dyDescent="0.25">
      <c r="A161" t="s">
        <v>978</v>
      </c>
      <c r="B161" t="s">
        <v>484</v>
      </c>
      <c r="C161" t="s">
        <v>286</v>
      </c>
      <c r="E161" t="s">
        <v>970</v>
      </c>
      <c r="F161" t="s">
        <v>500</v>
      </c>
      <c r="G161" t="s">
        <v>499</v>
      </c>
      <c r="I161" t="s">
        <v>974</v>
      </c>
      <c r="J161" t="s">
        <v>1119</v>
      </c>
      <c r="K161" t="s">
        <v>1669</v>
      </c>
    </row>
    <row r="162" spans="1:11" x14ac:dyDescent="0.25">
      <c r="A162" t="s">
        <v>979</v>
      </c>
      <c r="B162" t="s">
        <v>482</v>
      </c>
      <c r="C162" t="s">
        <v>288</v>
      </c>
      <c r="E162" t="s">
        <v>971</v>
      </c>
      <c r="F162" t="s">
        <v>498</v>
      </c>
      <c r="G162" t="s">
        <v>497</v>
      </c>
      <c r="I162" t="s">
        <v>975</v>
      </c>
      <c r="J162" t="s">
        <v>1120</v>
      </c>
      <c r="K162" t="s">
        <v>1670</v>
      </c>
    </row>
    <row r="163" spans="1:11" x14ac:dyDescent="0.25">
      <c r="A163" t="s">
        <v>980</v>
      </c>
      <c r="B163" t="s">
        <v>480</v>
      </c>
      <c r="C163" t="s">
        <v>405</v>
      </c>
      <c r="E163" t="s">
        <v>972</v>
      </c>
      <c r="F163" t="s">
        <v>496</v>
      </c>
      <c r="G163" t="s">
        <v>495</v>
      </c>
      <c r="I163" t="s">
        <v>976</v>
      </c>
      <c r="J163" t="s">
        <v>1277</v>
      </c>
      <c r="K163" t="s">
        <v>1671</v>
      </c>
    </row>
    <row r="164" spans="1:11" x14ac:dyDescent="0.25">
      <c r="A164" t="s">
        <v>981</v>
      </c>
      <c r="B164" t="s">
        <v>1114</v>
      </c>
      <c r="C164" t="s">
        <v>291</v>
      </c>
      <c r="E164" t="s">
        <v>973</v>
      </c>
      <c r="F164" t="s">
        <v>494</v>
      </c>
      <c r="G164" t="s">
        <v>493</v>
      </c>
      <c r="I164" t="s">
        <v>977</v>
      </c>
      <c r="J164" t="s">
        <v>1278</v>
      </c>
      <c r="K164" t="s">
        <v>1672</v>
      </c>
    </row>
    <row r="165" spans="1:11" x14ac:dyDescent="0.25">
      <c r="A165" t="s">
        <v>982</v>
      </c>
      <c r="B165" t="s">
        <v>476</v>
      </c>
      <c r="C165" t="s">
        <v>293</v>
      </c>
      <c r="E165" t="s">
        <v>974</v>
      </c>
      <c r="F165" t="s">
        <v>492</v>
      </c>
      <c r="G165" t="s">
        <v>491</v>
      </c>
      <c r="I165" t="s">
        <v>978</v>
      </c>
      <c r="J165" t="s">
        <v>1279</v>
      </c>
      <c r="K165" t="s">
        <v>1673</v>
      </c>
    </row>
    <row r="166" spans="1:11" x14ac:dyDescent="0.25">
      <c r="A166" t="s">
        <v>983</v>
      </c>
      <c r="B166" t="s">
        <v>474</v>
      </c>
      <c r="C166" t="s">
        <v>295</v>
      </c>
      <c r="E166" t="s">
        <v>975</v>
      </c>
      <c r="F166" t="s">
        <v>490</v>
      </c>
      <c r="G166" t="s">
        <v>489</v>
      </c>
      <c r="I166" t="s">
        <v>979</v>
      </c>
      <c r="J166" t="s">
        <v>1280</v>
      </c>
      <c r="K166" t="s">
        <v>1674</v>
      </c>
    </row>
    <row r="167" spans="1:11" x14ac:dyDescent="0.25">
      <c r="A167" t="s">
        <v>984</v>
      </c>
      <c r="B167" t="s">
        <v>472</v>
      </c>
      <c r="C167" t="s">
        <v>297</v>
      </c>
      <c r="E167" t="s">
        <v>976</v>
      </c>
      <c r="F167" t="s">
        <v>488</v>
      </c>
      <c r="G167" t="s">
        <v>487</v>
      </c>
      <c r="I167" t="s">
        <v>980</v>
      </c>
      <c r="J167" t="s">
        <v>1281</v>
      </c>
      <c r="K167" t="s">
        <v>1675</v>
      </c>
    </row>
    <row r="168" spans="1:11" x14ac:dyDescent="0.25">
      <c r="A168" t="s">
        <v>985</v>
      </c>
      <c r="B168" t="s">
        <v>470</v>
      </c>
      <c r="C168" t="s">
        <v>300</v>
      </c>
      <c r="E168" t="s">
        <v>977</v>
      </c>
      <c r="F168" t="s">
        <v>486</v>
      </c>
      <c r="G168" t="s">
        <v>485</v>
      </c>
      <c r="I168" t="s">
        <v>981</v>
      </c>
      <c r="J168" t="s">
        <v>1282</v>
      </c>
      <c r="K168" t="s">
        <v>1676</v>
      </c>
    </row>
    <row r="169" spans="1:11" x14ac:dyDescent="0.25">
      <c r="A169" t="s">
        <v>986</v>
      </c>
      <c r="B169" t="s">
        <v>468</v>
      </c>
      <c r="C169" t="s">
        <v>302</v>
      </c>
      <c r="E169" t="s">
        <v>978</v>
      </c>
      <c r="F169" t="s">
        <v>484</v>
      </c>
      <c r="G169" t="s">
        <v>483</v>
      </c>
      <c r="I169" t="s">
        <v>982</v>
      </c>
      <c r="J169" t="s">
        <v>1283</v>
      </c>
      <c r="K169" t="s">
        <v>1677</v>
      </c>
    </row>
    <row r="170" spans="1:11" x14ac:dyDescent="0.25">
      <c r="A170" t="s">
        <v>987</v>
      </c>
      <c r="B170" t="s">
        <v>466</v>
      </c>
      <c r="C170" t="s">
        <v>406</v>
      </c>
      <c r="E170" t="s">
        <v>979</v>
      </c>
      <c r="F170" t="s">
        <v>482</v>
      </c>
      <c r="G170" t="s">
        <v>481</v>
      </c>
      <c r="I170" t="s">
        <v>983</v>
      </c>
      <c r="J170" t="s">
        <v>1284</v>
      </c>
      <c r="K170" t="s">
        <v>1678</v>
      </c>
    </row>
    <row r="171" spans="1:11" x14ac:dyDescent="0.25">
      <c r="A171" t="s">
        <v>988</v>
      </c>
      <c r="B171" t="s">
        <v>464</v>
      </c>
      <c r="C171" t="s">
        <v>407</v>
      </c>
      <c r="E171" t="s">
        <v>980</v>
      </c>
      <c r="F171" t="s">
        <v>480</v>
      </c>
      <c r="G171" t="s">
        <v>479</v>
      </c>
      <c r="I171" t="s">
        <v>984</v>
      </c>
      <c r="J171" t="s">
        <v>1285</v>
      </c>
      <c r="K171" t="s">
        <v>1679</v>
      </c>
    </row>
    <row r="172" spans="1:11" x14ac:dyDescent="0.25">
      <c r="A172" t="s">
        <v>989</v>
      </c>
      <c r="B172" t="s">
        <v>462</v>
      </c>
      <c r="C172" t="s">
        <v>306</v>
      </c>
      <c r="E172" t="s">
        <v>981</v>
      </c>
      <c r="F172" t="s">
        <v>478</v>
      </c>
      <c r="G172" t="s">
        <v>477</v>
      </c>
      <c r="I172" t="s">
        <v>985</v>
      </c>
      <c r="J172" t="s">
        <v>1286</v>
      </c>
      <c r="K172" t="s">
        <v>1680</v>
      </c>
    </row>
    <row r="173" spans="1:11" x14ac:dyDescent="0.25">
      <c r="A173" t="s">
        <v>990</v>
      </c>
      <c r="B173" t="s">
        <v>460</v>
      </c>
      <c r="C173" t="s">
        <v>308</v>
      </c>
      <c r="E173" t="s">
        <v>982</v>
      </c>
      <c r="F173" t="s">
        <v>476</v>
      </c>
      <c r="G173" t="s">
        <v>475</v>
      </c>
      <c r="I173" t="s">
        <v>986</v>
      </c>
      <c r="J173" t="s">
        <v>1287</v>
      </c>
      <c r="K173" t="s">
        <v>1681</v>
      </c>
    </row>
    <row r="174" spans="1:11" x14ac:dyDescent="0.25">
      <c r="A174" t="s">
        <v>991</v>
      </c>
      <c r="B174" t="s">
        <v>458</v>
      </c>
      <c r="C174" t="s">
        <v>408</v>
      </c>
      <c r="E174" t="s">
        <v>983</v>
      </c>
      <c r="F174" t="s">
        <v>474</v>
      </c>
      <c r="G174" t="s">
        <v>473</v>
      </c>
      <c r="I174" t="s">
        <v>987</v>
      </c>
      <c r="J174" t="s">
        <v>1288</v>
      </c>
      <c r="K174" t="s">
        <v>1682</v>
      </c>
    </row>
    <row r="175" spans="1:11" x14ac:dyDescent="0.25">
      <c r="A175" t="s">
        <v>992</v>
      </c>
      <c r="B175" t="s">
        <v>456</v>
      </c>
      <c r="C175" t="s">
        <v>311</v>
      </c>
      <c r="E175" t="s">
        <v>984</v>
      </c>
      <c r="F175" t="s">
        <v>472</v>
      </c>
      <c r="G175" t="s">
        <v>471</v>
      </c>
      <c r="I175" t="s">
        <v>988</v>
      </c>
      <c r="J175" t="s">
        <v>1289</v>
      </c>
      <c r="K175" t="s">
        <v>1683</v>
      </c>
    </row>
    <row r="176" spans="1:11" x14ac:dyDescent="0.25">
      <c r="A176" t="s">
        <v>993</v>
      </c>
      <c r="B176" t="s">
        <v>454</v>
      </c>
      <c r="C176" t="s">
        <v>313</v>
      </c>
      <c r="E176" t="s">
        <v>985</v>
      </c>
      <c r="F176" t="s">
        <v>470</v>
      </c>
      <c r="G176" t="s">
        <v>469</v>
      </c>
      <c r="I176" t="s">
        <v>989</v>
      </c>
      <c r="J176" t="s">
        <v>1290</v>
      </c>
      <c r="K176" t="s">
        <v>1684</v>
      </c>
    </row>
    <row r="177" spans="1:11" x14ac:dyDescent="0.25">
      <c r="A177" t="s">
        <v>994</v>
      </c>
      <c r="B177" t="s">
        <v>1115</v>
      </c>
      <c r="C177" t="s">
        <v>409</v>
      </c>
      <c r="E177" t="s">
        <v>986</v>
      </c>
      <c r="F177" t="s">
        <v>468</v>
      </c>
      <c r="G177" t="s">
        <v>467</v>
      </c>
      <c r="I177" t="s">
        <v>990</v>
      </c>
      <c r="J177" t="s">
        <v>1291</v>
      </c>
      <c r="K177" t="s">
        <v>1685</v>
      </c>
    </row>
    <row r="178" spans="1:11" x14ac:dyDescent="0.25">
      <c r="A178" t="s">
        <v>995</v>
      </c>
      <c r="B178" t="s">
        <v>450</v>
      </c>
      <c r="C178" t="s">
        <v>317</v>
      </c>
      <c r="E178" t="s">
        <v>987</v>
      </c>
      <c r="F178" t="s">
        <v>466</v>
      </c>
      <c r="G178" t="s">
        <v>465</v>
      </c>
      <c r="I178" t="s">
        <v>991</v>
      </c>
      <c r="J178" t="s">
        <v>1292</v>
      </c>
      <c r="K178" t="s">
        <v>1686</v>
      </c>
    </row>
    <row r="179" spans="1:11" x14ac:dyDescent="0.25">
      <c r="A179" t="s">
        <v>996</v>
      </c>
      <c r="B179" t="s">
        <v>448</v>
      </c>
      <c r="C179" t="s">
        <v>319</v>
      </c>
      <c r="E179" t="s">
        <v>988</v>
      </c>
      <c r="F179" t="s">
        <v>464</v>
      </c>
      <c r="G179" t="s">
        <v>463</v>
      </c>
      <c r="I179" t="s">
        <v>992</v>
      </c>
      <c r="J179" t="s">
        <v>1293</v>
      </c>
      <c r="K179" t="s">
        <v>1687</v>
      </c>
    </row>
    <row r="180" spans="1:11" x14ac:dyDescent="0.25">
      <c r="A180" t="s">
        <v>997</v>
      </c>
      <c r="B180" t="s">
        <v>446</v>
      </c>
      <c r="C180" t="s">
        <v>321</v>
      </c>
      <c r="E180" t="s">
        <v>989</v>
      </c>
      <c r="F180" t="s">
        <v>462</v>
      </c>
      <c r="G180" t="s">
        <v>461</v>
      </c>
      <c r="I180" t="s">
        <v>993</v>
      </c>
      <c r="J180" t="s">
        <v>1294</v>
      </c>
      <c r="K180" t="s">
        <v>1688</v>
      </c>
    </row>
    <row r="181" spans="1:11" x14ac:dyDescent="0.25">
      <c r="A181" t="s">
        <v>998</v>
      </c>
      <c r="B181" t="s">
        <v>444</v>
      </c>
      <c r="C181" t="s">
        <v>410</v>
      </c>
      <c r="E181" t="s">
        <v>990</v>
      </c>
      <c r="F181" t="s">
        <v>460</v>
      </c>
      <c r="G181" t="s">
        <v>459</v>
      </c>
      <c r="I181" t="s">
        <v>994</v>
      </c>
      <c r="J181" t="s">
        <v>1295</v>
      </c>
      <c r="K181" t="s">
        <v>1689</v>
      </c>
    </row>
    <row r="182" spans="1:11" x14ac:dyDescent="0.25">
      <c r="A182" t="s">
        <v>999</v>
      </c>
      <c r="B182" t="s">
        <v>442</v>
      </c>
      <c r="C182" t="s">
        <v>411</v>
      </c>
      <c r="E182" t="s">
        <v>991</v>
      </c>
      <c r="F182" t="s">
        <v>458</v>
      </c>
      <c r="G182" t="s">
        <v>457</v>
      </c>
      <c r="I182" t="s">
        <v>995</v>
      </c>
      <c r="J182" t="s">
        <v>1296</v>
      </c>
      <c r="K182" t="s">
        <v>1690</v>
      </c>
    </row>
    <row r="183" spans="1:11" x14ac:dyDescent="0.25">
      <c r="A183" t="s">
        <v>1000</v>
      </c>
      <c r="B183" t="s">
        <v>440</v>
      </c>
      <c r="C183" t="s">
        <v>325</v>
      </c>
      <c r="E183" t="s">
        <v>992</v>
      </c>
      <c r="F183" t="s">
        <v>456</v>
      </c>
      <c r="G183" t="s">
        <v>455</v>
      </c>
      <c r="I183" t="s">
        <v>996</v>
      </c>
      <c r="J183" t="s">
        <v>1297</v>
      </c>
      <c r="K183" t="s">
        <v>1691</v>
      </c>
    </row>
    <row r="184" spans="1:11" x14ac:dyDescent="0.25">
      <c r="A184" t="s">
        <v>1001</v>
      </c>
      <c r="B184" t="s">
        <v>438</v>
      </c>
      <c r="C184" t="s">
        <v>327</v>
      </c>
      <c r="E184" t="s">
        <v>993</v>
      </c>
      <c r="F184" t="s">
        <v>454</v>
      </c>
      <c r="G184" t="s">
        <v>453</v>
      </c>
      <c r="I184" t="s">
        <v>997</v>
      </c>
      <c r="J184" t="s">
        <v>1298</v>
      </c>
      <c r="K184" t="s">
        <v>1692</v>
      </c>
    </row>
    <row r="185" spans="1:11" x14ac:dyDescent="0.25">
      <c r="A185" t="s">
        <v>1002</v>
      </c>
      <c r="B185" t="s">
        <v>436</v>
      </c>
      <c r="C185" t="s">
        <v>412</v>
      </c>
      <c r="E185" t="s">
        <v>994</v>
      </c>
      <c r="F185" t="s">
        <v>452</v>
      </c>
      <c r="G185" t="s">
        <v>451</v>
      </c>
      <c r="I185" t="s">
        <v>998</v>
      </c>
      <c r="J185" t="s">
        <v>1299</v>
      </c>
      <c r="K185" t="s">
        <v>1693</v>
      </c>
    </row>
    <row r="186" spans="1:11" x14ac:dyDescent="0.25">
      <c r="A186" t="s">
        <v>1003</v>
      </c>
      <c r="B186" t="s">
        <v>1116</v>
      </c>
      <c r="C186" t="s">
        <v>331</v>
      </c>
      <c r="E186" t="s">
        <v>995</v>
      </c>
      <c r="F186" t="s">
        <v>450</v>
      </c>
      <c r="G186" t="s">
        <v>449</v>
      </c>
      <c r="I186" t="s">
        <v>999</v>
      </c>
      <c r="J186" t="s">
        <v>1300</v>
      </c>
      <c r="K186" t="s">
        <v>1694</v>
      </c>
    </row>
    <row r="187" spans="1:11" x14ac:dyDescent="0.25">
      <c r="A187" t="s">
        <v>1004</v>
      </c>
      <c r="B187" t="s">
        <v>432</v>
      </c>
      <c r="C187" t="s">
        <v>333</v>
      </c>
      <c r="E187" t="s">
        <v>996</v>
      </c>
      <c r="F187" t="s">
        <v>448</v>
      </c>
      <c r="G187" t="s">
        <v>447</v>
      </c>
      <c r="I187" t="s">
        <v>1000</v>
      </c>
      <c r="J187" t="s">
        <v>1301</v>
      </c>
      <c r="K187" t="s">
        <v>1695</v>
      </c>
    </row>
    <row r="188" spans="1:11" x14ac:dyDescent="0.25">
      <c r="A188" t="s">
        <v>1005</v>
      </c>
      <c r="B188" t="s">
        <v>430</v>
      </c>
      <c r="C188" t="s">
        <v>413</v>
      </c>
      <c r="E188" t="s">
        <v>997</v>
      </c>
      <c r="F188" t="s">
        <v>446</v>
      </c>
      <c r="G188" t="s">
        <v>445</v>
      </c>
      <c r="I188" t="s">
        <v>1001</v>
      </c>
      <c r="J188" t="s">
        <v>1302</v>
      </c>
      <c r="K188" t="s">
        <v>1696</v>
      </c>
    </row>
    <row r="189" spans="1:11" x14ac:dyDescent="0.25">
      <c r="A189" t="s">
        <v>1006</v>
      </c>
      <c r="B189" t="s">
        <v>428</v>
      </c>
      <c r="C189" t="s">
        <v>414</v>
      </c>
      <c r="E189" t="s">
        <v>998</v>
      </c>
      <c r="F189" t="s">
        <v>444</v>
      </c>
      <c r="G189" t="s">
        <v>443</v>
      </c>
      <c r="I189" t="s">
        <v>1002</v>
      </c>
      <c r="J189" t="s">
        <v>1303</v>
      </c>
      <c r="K189" t="s">
        <v>1697</v>
      </c>
    </row>
    <row r="190" spans="1:11" x14ac:dyDescent="0.25">
      <c r="A190" t="s">
        <v>1007</v>
      </c>
      <c r="B190" t="s">
        <v>426</v>
      </c>
      <c r="C190" t="s">
        <v>337</v>
      </c>
      <c r="E190" t="s">
        <v>999</v>
      </c>
      <c r="F190" t="s">
        <v>442</v>
      </c>
      <c r="G190" t="s">
        <v>441</v>
      </c>
      <c r="I190" t="s">
        <v>1003</v>
      </c>
      <c r="J190" t="s">
        <v>1304</v>
      </c>
      <c r="K190" t="s">
        <v>1698</v>
      </c>
    </row>
    <row r="191" spans="1:11" x14ac:dyDescent="0.25">
      <c r="A191" t="s">
        <v>1008</v>
      </c>
      <c r="B191" t="s">
        <v>424</v>
      </c>
      <c r="C191" t="s">
        <v>339</v>
      </c>
      <c r="E191" t="s">
        <v>1000</v>
      </c>
      <c r="F191" t="s">
        <v>440</v>
      </c>
      <c r="G191" t="s">
        <v>439</v>
      </c>
      <c r="I191" t="s">
        <v>1004</v>
      </c>
      <c r="J191" t="s">
        <v>1305</v>
      </c>
      <c r="K191" t="s">
        <v>1699</v>
      </c>
    </row>
    <row r="192" spans="1:11" x14ac:dyDescent="0.25">
      <c r="A192" t="s">
        <v>1009</v>
      </c>
      <c r="B192" t="s">
        <v>421</v>
      </c>
      <c r="C192" t="s">
        <v>341</v>
      </c>
      <c r="E192" t="s">
        <v>1001</v>
      </c>
      <c r="F192" t="s">
        <v>438</v>
      </c>
      <c r="G192" t="s">
        <v>437</v>
      </c>
    </row>
    <row r="193" spans="5:7" x14ac:dyDescent="0.25">
      <c r="E193" t="s">
        <v>1002</v>
      </c>
      <c r="F193" t="s">
        <v>436</v>
      </c>
      <c r="G193" t="s">
        <v>435</v>
      </c>
    </row>
    <row r="194" spans="5:7" x14ac:dyDescent="0.25">
      <c r="E194" t="s">
        <v>1003</v>
      </c>
      <c r="F194" t="s">
        <v>434</v>
      </c>
      <c r="G194" t="s">
        <v>433</v>
      </c>
    </row>
    <row r="195" spans="5:7" x14ac:dyDescent="0.25">
      <c r="E195" t="s">
        <v>1004</v>
      </c>
      <c r="F195" t="s">
        <v>432</v>
      </c>
      <c r="G195" t="s">
        <v>431</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D8BB2-E5B4-4ADE-8546-3FF83ED368E2}">
  <dimension ref="A1:E198"/>
  <sheetViews>
    <sheetView topLeftCell="C1" workbookViewId="0">
      <selection activeCell="D168" sqref="D168"/>
    </sheetView>
  </sheetViews>
  <sheetFormatPr defaultRowHeight="15" x14ac:dyDescent="0.25"/>
  <cols>
    <col min="1" max="1" width="9.28515625" hidden="1" customWidth="1"/>
    <col min="2" max="2" width="10" hidden="1" customWidth="1"/>
    <col min="4" max="4" width="64.85546875" bestFit="1" customWidth="1"/>
    <col min="5" max="5" width="17.28515625" style="1" customWidth="1"/>
  </cols>
  <sheetData>
    <row r="1" spans="1:5" x14ac:dyDescent="0.25">
      <c r="A1" t="s">
        <v>817</v>
      </c>
      <c r="B1" t="s">
        <v>818</v>
      </c>
      <c r="C1" t="s">
        <v>819</v>
      </c>
      <c r="D1" t="s">
        <v>1</v>
      </c>
      <c r="E1" s="1" t="s">
        <v>2</v>
      </c>
    </row>
    <row r="2" spans="1:5" hidden="1" x14ac:dyDescent="0.25">
      <c r="A2" t="s">
        <v>0</v>
      </c>
      <c r="B2">
        <v>1</v>
      </c>
      <c r="C2" t="str">
        <f>"S"&amp;TEXT(Table1[[#This Row],[Season]],"00")&amp;"E"&amp;TEXT(Table1[[#This Row],[Episode]],"00")</f>
        <v>SSpecialsE01</v>
      </c>
      <c r="D2" t="s">
        <v>3</v>
      </c>
      <c r="E2" s="1" t="s">
        <v>4</v>
      </c>
    </row>
    <row r="3" spans="1:5" hidden="1" x14ac:dyDescent="0.25">
      <c r="A3" t="s">
        <v>0</v>
      </c>
      <c r="B3">
        <v>2</v>
      </c>
      <c r="C3" t="str">
        <f>"S"&amp;TEXT(Table1[[#This Row],[Season]],"00")&amp;"E"&amp;TEXT(Table1[[#This Row],[Episode]],"00")</f>
        <v>SSpecialsE02</v>
      </c>
      <c r="D3" t="s">
        <v>5</v>
      </c>
      <c r="E3" s="1" t="s">
        <v>6</v>
      </c>
    </row>
    <row r="4" spans="1:5" hidden="1" x14ac:dyDescent="0.25">
      <c r="A4" t="s">
        <v>0</v>
      </c>
      <c r="B4">
        <v>3</v>
      </c>
      <c r="C4" t="str">
        <f>"S"&amp;TEXT(Table1[[#This Row],[Season]],"00")&amp;"E"&amp;TEXT(Table1[[#This Row],[Episode]],"00")</f>
        <v>SSpecialsE03</v>
      </c>
      <c r="D4" t="s">
        <v>7</v>
      </c>
      <c r="E4" s="1" t="s">
        <v>8</v>
      </c>
    </row>
    <row r="5" spans="1:5" hidden="1" x14ac:dyDescent="0.25">
      <c r="A5" t="s">
        <v>0</v>
      </c>
      <c r="B5">
        <v>4</v>
      </c>
      <c r="C5" t="str">
        <f>"S"&amp;TEXT(Table1[[#This Row],[Season]],"00")&amp;"E"&amp;TEXT(Table1[[#This Row],[Episode]],"00")</f>
        <v>SSpecialsE04</v>
      </c>
      <c r="D5" t="s">
        <v>9</v>
      </c>
      <c r="E5" s="1" t="s">
        <v>342</v>
      </c>
    </row>
    <row r="6" spans="1:5" hidden="1" x14ac:dyDescent="0.25">
      <c r="A6" t="s">
        <v>0</v>
      </c>
      <c r="B6">
        <v>5</v>
      </c>
      <c r="C6" t="str">
        <f>"S"&amp;TEXT(Table1[[#This Row],[Season]],"00")&amp;"E"&amp;TEXT(Table1[[#This Row],[Episode]],"00")</f>
        <v>SSpecialsE05</v>
      </c>
      <c r="D6" t="s">
        <v>10</v>
      </c>
      <c r="E6" s="1" t="s">
        <v>343</v>
      </c>
    </row>
    <row r="7" spans="1:5" hidden="1" x14ac:dyDescent="0.25">
      <c r="A7" t="s">
        <v>0</v>
      </c>
      <c r="B7">
        <v>6</v>
      </c>
      <c r="C7" t="str">
        <f>"S"&amp;TEXT(Table1[[#This Row],[Season]],"00")&amp;"E"&amp;TEXT(Table1[[#This Row],[Episode]],"00")</f>
        <v>SSpecialsE06</v>
      </c>
      <c r="D7" t="s">
        <v>11</v>
      </c>
      <c r="E7" s="1" t="s">
        <v>12</v>
      </c>
    </row>
    <row r="8" spans="1:5" hidden="1" x14ac:dyDescent="0.25">
      <c r="A8" t="s">
        <v>0</v>
      </c>
      <c r="B8">
        <v>7</v>
      </c>
      <c r="C8" t="str">
        <f>"S"&amp;TEXT(Table1[[#This Row],[Season]],"00")&amp;"E"&amp;TEXT(Table1[[#This Row],[Episode]],"00")</f>
        <v>SSpecialsE07</v>
      </c>
      <c r="D8" t="s">
        <v>13</v>
      </c>
      <c r="E8" s="1" t="s">
        <v>344</v>
      </c>
    </row>
    <row r="9" spans="1:5" x14ac:dyDescent="0.25">
      <c r="A9">
        <v>1</v>
      </c>
      <c r="B9">
        <v>1</v>
      </c>
      <c r="C9" t="str">
        <f>"S"&amp;TEXT(Table1[[#This Row],[Season]],"00")&amp;"E"&amp;TEXT(Table1[[#This Row],[Episode]],"00")</f>
        <v>S01E01</v>
      </c>
      <c r="D9" t="s">
        <v>15</v>
      </c>
      <c r="E9" s="1" t="s">
        <v>16</v>
      </c>
    </row>
    <row r="10" spans="1:5" x14ac:dyDescent="0.25">
      <c r="A10">
        <v>1</v>
      </c>
      <c r="B10">
        <v>2</v>
      </c>
      <c r="C10" t="str">
        <f>"S"&amp;TEXT(Table1[[#This Row],[Season]],"00")&amp;"E"&amp;TEXT(Table1[[#This Row],[Episode]],"00")</f>
        <v>S01E02</v>
      </c>
      <c r="D10" t="s">
        <v>17</v>
      </c>
      <c r="E10" s="1" t="s">
        <v>345</v>
      </c>
    </row>
    <row r="11" spans="1:5" x14ac:dyDescent="0.25">
      <c r="A11">
        <v>1</v>
      </c>
      <c r="B11">
        <v>3</v>
      </c>
      <c r="C11" t="str">
        <f>"S"&amp;TEXT(Table1[[#This Row],[Season]],"00")&amp;"E"&amp;TEXT(Table1[[#This Row],[Episode]],"00")</f>
        <v>S01E03</v>
      </c>
      <c r="D11" t="s">
        <v>18</v>
      </c>
      <c r="E11" s="1" t="s">
        <v>19</v>
      </c>
    </row>
    <row r="12" spans="1:5" x14ac:dyDescent="0.25">
      <c r="A12">
        <v>1</v>
      </c>
      <c r="B12">
        <v>4</v>
      </c>
      <c r="C12" t="str">
        <f>"S"&amp;TEXT(Table1[[#This Row],[Season]],"00")&amp;"E"&amp;TEXT(Table1[[#This Row],[Episode]],"00")</f>
        <v>S01E04</v>
      </c>
      <c r="D12" t="s">
        <v>20</v>
      </c>
      <c r="E12" s="1" t="s">
        <v>21</v>
      </c>
    </row>
    <row r="13" spans="1:5" x14ac:dyDescent="0.25">
      <c r="A13">
        <v>1</v>
      </c>
      <c r="B13">
        <v>5</v>
      </c>
      <c r="C13" t="str">
        <f>"S"&amp;TEXT(Table1[[#This Row],[Season]],"00")&amp;"E"&amp;TEXT(Table1[[#This Row],[Episode]],"00")</f>
        <v>S01E05</v>
      </c>
      <c r="D13" t="s">
        <v>22</v>
      </c>
      <c r="E13" s="1" t="s">
        <v>346</v>
      </c>
    </row>
    <row r="14" spans="1:5" x14ac:dyDescent="0.25">
      <c r="A14">
        <v>1</v>
      </c>
      <c r="B14">
        <v>6</v>
      </c>
      <c r="C14" t="str">
        <f>"S"&amp;TEXT(Table1[[#This Row],[Season]],"00")&amp;"E"&amp;TEXT(Table1[[#This Row],[Episode]],"00")</f>
        <v>S01E06</v>
      </c>
      <c r="D14" t="s">
        <v>23</v>
      </c>
      <c r="E14" s="1" t="s">
        <v>347</v>
      </c>
    </row>
    <row r="15" spans="1:5" x14ac:dyDescent="0.25">
      <c r="A15">
        <v>1</v>
      </c>
      <c r="B15">
        <v>7</v>
      </c>
      <c r="C15" t="str">
        <f>"S"&amp;TEXT(Table1[[#This Row],[Season]],"00")&amp;"E"&amp;TEXT(Table1[[#This Row],[Episode]],"00")</f>
        <v>S01E07</v>
      </c>
      <c r="D15" t="s">
        <v>24</v>
      </c>
      <c r="E15" s="1" t="s">
        <v>25</v>
      </c>
    </row>
    <row r="16" spans="1:5" x14ac:dyDescent="0.25">
      <c r="A16">
        <v>1</v>
      </c>
      <c r="B16">
        <v>8</v>
      </c>
      <c r="C16" t="str">
        <f>"S"&amp;TEXT(Table1[[#This Row],[Season]],"00")&amp;"E"&amp;TEXT(Table1[[#This Row],[Episode]],"00")</f>
        <v>S01E08</v>
      </c>
      <c r="D16" t="s">
        <v>26</v>
      </c>
      <c r="E16" s="1" t="s">
        <v>27</v>
      </c>
    </row>
    <row r="17" spans="1:5" x14ac:dyDescent="0.25">
      <c r="A17">
        <v>1</v>
      </c>
      <c r="B17">
        <v>9</v>
      </c>
      <c r="C17" t="str">
        <f>"S"&amp;TEXT(Table1[[#This Row],[Season]],"00")&amp;"E"&amp;TEXT(Table1[[#This Row],[Episode]],"00")</f>
        <v>S01E09</v>
      </c>
      <c r="D17" t="s">
        <v>28</v>
      </c>
      <c r="E17" s="1" t="s">
        <v>348</v>
      </c>
    </row>
    <row r="18" spans="1:5" x14ac:dyDescent="0.25">
      <c r="A18">
        <v>1</v>
      </c>
      <c r="B18">
        <v>10</v>
      </c>
      <c r="C18" t="str">
        <f>"S"&amp;TEXT(Table1[[#This Row],[Season]],"00")&amp;"E"&amp;TEXT(Table1[[#This Row],[Episode]],"00")</f>
        <v>S01E10</v>
      </c>
      <c r="D18" t="s">
        <v>29</v>
      </c>
      <c r="E18" s="1" t="s">
        <v>30</v>
      </c>
    </row>
    <row r="19" spans="1:5" x14ac:dyDescent="0.25">
      <c r="A19">
        <v>1</v>
      </c>
      <c r="B19">
        <v>11</v>
      </c>
      <c r="C19" t="str">
        <f>"S"&amp;TEXT(Table1[[#This Row],[Season]],"00")&amp;"E"&amp;TEXT(Table1[[#This Row],[Episode]],"00")</f>
        <v>S01E11</v>
      </c>
      <c r="D19" t="s">
        <v>31</v>
      </c>
      <c r="E19" s="1" t="s">
        <v>32</v>
      </c>
    </row>
    <row r="20" spans="1:5" x14ac:dyDescent="0.25">
      <c r="A20">
        <v>1</v>
      </c>
      <c r="B20">
        <v>12</v>
      </c>
      <c r="C20" t="str">
        <f>"S"&amp;TEXT(Table1[[#This Row],[Season]],"00")&amp;"E"&amp;TEXT(Table1[[#This Row],[Episode]],"00")</f>
        <v>S01E12</v>
      </c>
      <c r="D20" t="s">
        <v>33</v>
      </c>
      <c r="E20" s="1" t="s">
        <v>349</v>
      </c>
    </row>
    <row r="21" spans="1:5" x14ac:dyDescent="0.25">
      <c r="A21">
        <v>1</v>
      </c>
      <c r="B21">
        <v>13</v>
      </c>
      <c r="C21" t="str">
        <f>"S"&amp;TEXT(Table1[[#This Row],[Season]],"00")&amp;"E"&amp;TEXT(Table1[[#This Row],[Episode]],"00")</f>
        <v>S01E13</v>
      </c>
      <c r="D21" t="s">
        <v>34</v>
      </c>
      <c r="E21" s="1" t="s">
        <v>35</v>
      </c>
    </row>
    <row r="22" spans="1:5" x14ac:dyDescent="0.25">
      <c r="A22">
        <v>1</v>
      </c>
      <c r="B22">
        <v>14</v>
      </c>
      <c r="C22" t="str">
        <f>"S"&amp;TEXT(Table1[[#This Row],[Season]],"00")&amp;"E"&amp;TEXT(Table1[[#This Row],[Episode]],"00")</f>
        <v>S01E14</v>
      </c>
      <c r="D22" t="s">
        <v>36</v>
      </c>
      <c r="E22" s="1" t="s">
        <v>37</v>
      </c>
    </row>
    <row r="23" spans="1:5" x14ac:dyDescent="0.25">
      <c r="A23">
        <v>1</v>
      </c>
      <c r="B23">
        <v>15</v>
      </c>
      <c r="C23" t="str">
        <f>"S"&amp;TEXT(Table1[[#This Row],[Season]],"00")&amp;"E"&amp;TEXT(Table1[[#This Row],[Episode]],"00")</f>
        <v>S01E15</v>
      </c>
      <c r="D23" t="s">
        <v>38</v>
      </c>
      <c r="E23" s="1" t="s">
        <v>39</v>
      </c>
    </row>
    <row r="24" spans="1:5" x14ac:dyDescent="0.25">
      <c r="A24">
        <v>1</v>
      </c>
      <c r="B24">
        <v>16</v>
      </c>
      <c r="C24" t="str">
        <f>"S"&amp;TEXT(Table1[[#This Row],[Season]],"00")&amp;"E"&amp;TEXT(Table1[[#This Row],[Episode]],"00")</f>
        <v>S01E16</v>
      </c>
      <c r="D24" t="s">
        <v>40</v>
      </c>
      <c r="E24" s="1" t="s">
        <v>350</v>
      </c>
    </row>
    <row r="25" spans="1:5" x14ac:dyDescent="0.25">
      <c r="A25">
        <v>1</v>
      </c>
      <c r="B25">
        <v>17</v>
      </c>
      <c r="C25" t="str">
        <f>"S"&amp;TEXT(Table1[[#This Row],[Season]],"00")&amp;"E"&amp;TEXT(Table1[[#This Row],[Episode]],"00")</f>
        <v>S01E17</v>
      </c>
      <c r="D25" t="s">
        <v>41</v>
      </c>
      <c r="E25" s="1" t="s">
        <v>351</v>
      </c>
    </row>
    <row r="26" spans="1:5" x14ac:dyDescent="0.25">
      <c r="A26">
        <v>2</v>
      </c>
      <c r="B26">
        <v>1</v>
      </c>
      <c r="C26" t="str">
        <f>"S"&amp;TEXT(Table1[[#This Row],[Season]],"00")&amp;"E"&amp;TEXT(Table1[[#This Row],[Episode]],"00")</f>
        <v>S02E01</v>
      </c>
      <c r="D26" t="s">
        <v>43</v>
      </c>
      <c r="E26" s="1" t="s">
        <v>44</v>
      </c>
    </row>
    <row r="27" spans="1:5" x14ac:dyDescent="0.25">
      <c r="A27">
        <v>2</v>
      </c>
      <c r="B27">
        <v>2</v>
      </c>
      <c r="C27" t="str">
        <f>"S"&amp;TEXT(Table1[[#This Row],[Season]],"00")&amp;"E"&amp;TEXT(Table1[[#This Row],[Episode]],"00")</f>
        <v>S02E02</v>
      </c>
      <c r="D27" t="s">
        <v>45</v>
      </c>
      <c r="E27" s="1" t="s">
        <v>46</v>
      </c>
    </row>
    <row r="28" spans="1:5" x14ac:dyDescent="0.25">
      <c r="A28">
        <v>2</v>
      </c>
      <c r="B28">
        <v>3</v>
      </c>
      <c r="C28" t="str">
        <f>"S"&amp;TEXT(Table1[[#This Row],[Season]],"00")&amp;"E"&amp;TEXT(Table1[[#This Row],[Episode]],"00")</f>
        <v>S02E03</v>
      </c>
      <c r="D28" t="s">
        <v>47</v>
      </c>
      <c r="E28" s="1" t="s">
        <v>48</v>
      </c>
    </row>
    <row r="29" spans="1:5" x14ac:dyDescent="0.25">
      <c r="A29">
        <v>2</v>
      </c>
      <c r="B29">
        <v>4</v>
      </c>
      <c r="C29" t="str">
        <f>"S"&amp;TEXT(Table1[[#This Row],[Season]],"00")&amp;"E"&amp;TEXT(Table1[[#This Row],[Episode]],"00")</f>
        <v>S02E04</v>
      </c>
      <c r="D29" t="s">
        <v>49</v>
      </c>
      <c r="E29" s="1" t="s">
        <v>352</v>
      </c>
    </row>
    <row r="30" spans="1:5" x14ac:dyDescent="0.25">
      <c r="A30">
        <v>2</v>
      </c>
      <c r="B30">
        <v>5</v>
      </c>
      <c r="C30" t="str">
        <f>"S"&amp;TEXT(Table1[[#This Row],[Season]],"00")&amp;"E"&amp;TEXT(Table1[[#This Row],[Episode]],"00")</f>
        <v>S02E05</v>
      </c>
      <c r="D30" t="s">
        <v>50</v>
      </c>
      <c r="E30" s="1" t="s">
        <v>51</v>
      </c>
    </row>
    <row r="31" spans="1:5" x14ac:dyDescent="0.25">
      <c r="A31">
        <v>2</v>
      </c>
      <c r="B31">
        <v>6</v>
      </c>
      <c r="C31" t="str">
        <f>"S"&amp;TEXT(Table1[[#This Row],[Season]],"00")&amp;"E"&amp;TEXT(Table1[[#This Row],[Episode]],"00")</f>
        <v>S02E06</v>
      </c>
      <c r="D31" t="s">
        <v>52</v>
      </c>
      <c r="E31" s="1" t="s">
        <v>53</v>
      </c>
    </row>
    <row r="32" spans="1:5" x14ac:dyDescent="0.25">
      <c r="A32">
        <v>2</v>
      </c>
      <c r="B32">
        <v>7</v>
      </c>
      <c r="C32" t="str">
        <f>"S"&amp;TEXT(Table1[[#This Row],[Season]],"00")&amp;"E"&amp;TEXT(Table1[[#This Row],[Episode]],"00")</f>
        <v>S02E07</v>
      </c>
      <c r="D32" t="s">
        <v>54</v>
      </c>
      <c r="E32" s="1" t="s">
        <v>353</v>
      </c>
    </row>
    <row r="33" spans="1:5" x14ac:dyDescent="0.25">
      <c r="A33">
        <v>2</v>
      </c>
      <c r="B33">
        <v>8</v>
      </c>
      <c r="C33" t="str">
        <f>"S"&amp;TEXT(Table1[[#This Row],[Season]],"00")&amp;"E"&amp;TEXT(Table1[[#This Row],[Episode]],"00")</f>
        <v>S02E08</v>
      </c>
      <c r="D33" t="s">
        <v>55</v>
      </c>
      <c r="E33" s="1" t="s">
        <v>354</v>
      </c>
    </row>
    <row r="34" spans="1:5" x14ac:dyDescent="0.25">
      <c r="A34">
        <v>2</v>
      </c>
      <c r="B34">
        <v>9</v>
      </c>
      <c r="C34" t="str">
        <f>"S"&amp;TEXT(Table1[[#This Row],[Season]],"00")&amp;"E"&amp;TEXT(Table1[[#This Row],[Episode]],"00")</f>
        <v>S02E09</v>
      </c>
      <c r="D34" t="s">
        <v>56</v>
      </c>
      <c r="E34" s="1" t="s">
        <v>57</v>
      </c>
    </row>
    <row r="35" spans="1:5" x14ac:dyDescent="0.25">
      <c r="A35">
        <v>2</v>
      </c>
      <c r="B35">
        <v>10</v>
      </c>
      <c r="C35" t="str">
        <f>"S"&amp;TEXT(Table1[[#This Row],[Season]],"00")&amp;"E"&amp;TEXT(Table1[[#This Row],[Episode]],"00")</f>
        <v>S02E10</v>
      </c>
      <c r="D35" t="s">
        <v>58</v>
      </c>
      <c r="E35" s="1" t="s">
        <v>355</v>
      </c>
    </row>
    <row r="36" spans="1:5" x14ac:dyDescent="0.25">
      <c r="A36">
        <v>2</v>
      </c>
      <c r="B36">
        <v>11</v>
      </c>
      <c r="C36" t="str">
        <f>"S"&amp;TEXT(Table1[[#This Row],[Season]],"00")&amp;"E"&amp;TEXT(Table1[[#This Row],[Episode]],"00")</f>
        <v>S02E11</v>
      </c>
      <c r="D36" t="s">
        <v>59</v>
      </c>
      <c r="E36" s="1" t="s">
        <v>356</v>
      </c>
    </row>
    <row r="37" spans="1:5" x14ac:dyDescent="0.25">
      <c r="A37">
        <v>2</v>
      </c>
      <c r="B37">
        <v>12</v>
      </c>
      <c r="C37" t="str">
        <f>"S"&amp;TEXT(Table1[[#This Row],[Season]],"00")&amp;"E"&amp;TEXT(Table1[[#This Row],[Episode]],"00")</f>
        <v>S02E12</v>
      </c>
      <c r="D37" t="s">
        <v>60</v>
      </c>
      <c r="E37" s="1" t="s">
        <v>357</v>
      </c>
    </row>
    <row r="38" spans="1:5" x14ac:dyDescent="0.25">
      <c r="A38">
        <v>3</v>
      </c>
      <c r="B38">
        <v>1</v>
      </c>
      <c r="C38" t="str">
        <f>"S"&amp;TEXT(Table1[[#This Row],[Season]],"00")&amp;"E"&amp;TEXT(Table1[[#This Row],[Episode]],"00")</f>
        <v>S03E01</v>
      </c>
      <c r="D38" t="s">
        <v>62</v>
      </c>
      <c r="E38" s="1" t="s">
        <v>358</v>
      </c>
    </row>
    <row r="39" spans="1:5" x14ac:dyDescent="0.25">
      <c r="A39">
        <v>3</v>
      </c>
      <c r="B39">
        <v>2</v>
      </c>
      <c r="C39" t="str">
        <f>"S"&amp;TEXT(Table1[[#This Row],[Season]],"00")&amp;"E"&amp;TEXT(Table1[[#This Row],[Episode]],"00")</f>
        <v>S03E02</v>
      </c>
      <c r="D39" t="s">
        <v>63</v>
      </c>
      <c r="E39" s="1" t="s">
        <v>64</v>
      </c>
    </row>
    <row r="40" spans="1:5" x14ac:dyDescent="0.25">
      <c r="A40">
        <v>3</v>
      </c>
      <c r="B40">
        <v>3</v>
      </c>
      <c r="C40" t="str">
        <f>"S"&amp;TEXT(Table1[[#This Row],[Season]],"00")&amp;"E"&amp;TEXT(Table1[[#This Row],[Episode]],"00")</f>
        <v>S03E03</v>
      </c>
      <c r="D40" t="s">
        <v>65</v>
      </c>
      <c r="E40" s="1" t="s">
        <v>66</v>
      </c>
    </row>
    <row r="41" spans="1:5" x14ac:dyDescent="0.25">
      <c r="A41">
        <v>3</v>
      </c>
      <c r="B41">
        <v>4</v>
      </c>
      <c r="C41" t="str">
        <f>"S"&amp;TEXT(Table1[[#This Row],[Season]],"00")&amp;"E"&amp;TEXT(Table1[[#This Row],[Episode]],"00")</f>
        <v>S03E04</v>
      </c>
      <c r="D41" t="s">
        <v>67</v>
      </c>
      <c r="E41" s="1" t="s">
        <v>359</v>
      </c>
    </row>
    <row r="42" spans="1:5" x14ac:dyDescent="0.25">
      <c r="A42">
        <v>3</v>
      </c>
      <c r="B42">
        <v>5</v>
      </c>
      <c r="C42" t="str">
        <f>"S"&amp;TEXT(Table1[[#This Row],[Season]],"00")&amp;"E"&amp;TEXT(Table1[[#This Row],[Episode]],"00")</f>
        <v>S03E05</v>
      </c>
      <c r="D42" t="s">
        <v>68</v>
      </c>
      <c r="E42" s="1" t="s">
        <v>360</v>
      </c>
    </row>
    <row r="43" spans="1:5" x14ac:dyDescent="0.25">
      <c r="A43">
        <v>3</v>
      </c>
      <c r="B43">
        <v>6</v>
      </c>
      <c r="C43" t="str">
        <f>"S"&amp;TEXT(Table1[[#This Row],[Season]],"00")&amp;"E"&amp;TEXT(Table1[[#This Row],[Episode]],"00")</f>
        <v>S03E06</v>
      </c>
      <c r="D43" t="s">
        <v>69</v>
      </c>
      <c r="E43" s="1" t="s">
        <v>70</v>
      </c>
    </row>
    <row r="44" spans="1:5" x14ac:dyDescent="0.25">
      <c r="A44">
        <v>3</v>
      </c>
      <c r="B44">
        <v>7</v>
      </c>
      <c r="C44" t="str">
        <f>"S"&amp;TEXT(Table1[[#This Row],[Season]],"00")&amp;"E"&amp;TEXT(Table1[[#This Row],[Episode]],"00")</f>
        <v>S03E07</v>
      </c>
      <c r="D44" t="s">
        <v>71</v>
      </c>
      <c r="E44" s="1" t="s">
        <v>72</v>
      </c>
    </row>
    <row r="45" spans="1:5" x14ac:dyDescent="0.25">
      <c r="A45">
        <v>3</v>
      </c>
      <c r="B45">
        <v>8</v>
      </c>
      <c r="C45" t="str">
        <f>"S"&amp;TEXT(Table1[[#This Row],[Season]],"00")&amp;"E"&amp;TEXT(Table1[[#This Row],[Episode]],"00")</f>
        <v>S03E08</v>
      </c>
      <c r="D45" t="s">
        <v>73</v>
      </c>
      <c r="E45" s="1" t="s">
        <v>361</v>
      </c>
    </row>
    <row r="46" spans="1:5" x14ac:dyDescent="0.25">
      <c r="A46">
        <v>3</v>
      </c>
      <c r="B46">
        <v>9</v>
      </c>
      <c r="C46" t="str">
        <f>"S"&amp;TEXT(Table1[[#This Row],[Season]],"00")&amp;"E"&amp;TEXT(Table1[[#This Row],[Episode]],"00")</f>
        <v>S03E09</v>
      </c>
      <c r="D46" t="s">
        <v>74</v>
      </c>
      <c r="E46" s="1" t="s">
        <v>362</v>
      </c>
    </row>
    <row r="47" spans="1:5" x14ac:dyDescent="0.25">
      <c r="A47">
        <v>3</v>
      </c>
      <c r="B47">
        <v>10</v>
      </c>
      <c r="C47" t="str">
        <f>"S"&amp;TEXT(Table1[[#This Row],[Season]],"00")&amp;"E"&amp;TEXT(Table1[[#This Row],[Episode]],"00")</f>
        <v>S03E10</v>
      </c>
      <c r="D47" t="s">
        <v>75</v>
      </c>
      <c r="E47" s="1" t="s">
        <v>363</v>
      </c>
    </row>
    <row r="48" spans="1:5" x14ac:dyDescent="0.25">
      <c r="A48">
        <v>3</v>
      </c>
      <c r="B48">
        <v>11</v>
      </c>
      <c r="C48" t="str">
        <f>"S"&amp;TEXT(Table1[[#This Row],[Season]],"00")&amp;"E"&amp;TEXT(Table1[[#This Row],[Episode]],"00")</f>
        <v>S03E11</v>
      </c>
      <c r="D48" t="s">
        <v>76</v>
      </c>
      <c r="E48" s="1" t="s">
        <v>77</v>
      </c>
    </row>
    <row r="49" spans="1:5" x14ac:dyDescent="0.25">
      <c r="A49">
        <v>3</v>
      </c>
      <c r="B49">
        <v>12</v>
      </c>
      <c r="C49" t="str">
        <f>"S"&amp;TEXT(Table1[[#This Row],[Season]],"00")&amp;"E"&amp;TEXT(Table1[[#This Row],[Episode]],"00")</f>
        <v>S03E12</v>
      </c>
      <c r="D49" t="s">
        <v>78</v>
      </c>
      <c r="E49" s="1" t="s">
        <v>364</v>
      </c>
    </row>
    <row r="50" spans="1:5" x14ac:dyDescent="0.25">
      <c r="A50">
        <v>3</v>
      </c>
      <c r="B50">
        <v>13</v>
      </c>
      <c r="C50" t="str">
        <f>"S"&amp;TEXT(Table1[[#This Row],[Season]],"00")&amp;"E"&amp;TEXT(Table1[[#This Row],[Episode]],"00")</f>
        <v>S03E13</v>
      </c>
      <c r="D50" t="s">
        <v>79</v>
      </c>
      <c r="E50" s="1" t="s">
        <v>80</v>
      </c>
    </row>
    <row r="51" spans="1:5" x14ac:dyDescent="0.25">
      <c r="A51">
        <v>3</v>
      </c>
      <c r="B51">
        <v>14</v>
      </c>
      <c r="C51" t="str">
        <f>"S"&amp;TEXT(Table1[[#This Row],[Season]],"00")&amp;"E"&amp;TEXT(Table1[[#This Row],[Episode]],"00")</f>
        <v>S03E14</v>
      </c>
      <c r="D51" t="s">
        <v>81</v>
      </c>
      <c r="E51" s="1" t="s">
        <v>82</v>
      </c>
    </row>
    <row r="52" spans="1:5" x14ac:dyDescent="0.25">
      <c r="A52">
        <v>3</v>
      </c>
      <c r="B52">
        <v>15</v>
      </c>
      <c r="C52" t="str">
        <f>"S"&amp;TEXT(Table1[[#This Row],[Season]],"00")&amp;"E"&amp;TEXT(Table1[[#This Row],[Episode]],"00")</f>
        <v>S03E15</v>
      </c>
      <c r="D52" t="s">
        <v>83</v>
      </c>
      <c r="E52" s="1" t="s">
        <v>84</v>
      </c>
    </row>
    <row r="53" spans="1:5" x14ac:dyDescent="0.25">
      <c r="A53">
        <v>4</v>
      </c>
      <c r="B53">
        <v>1</v>
      </c>
      <c r="C53" t="str">
        <f>"S"&amp;TEXT(Table1[[#This Row],[Season]],"00")&amp;"E"&amp;TEXT(Table1[[#This Row],[Episode]],"00")</f>
        <v>S04E01</v>
      </c>
      <c r="D53" t="s">
        <v>86</v>
      </c>
      <c r="E53" s="1" t="s">
        <v>87</v>
      </c>
    </row>
    <row r="54" spans="1:5" x14ac:dyDescent="0.25">
      <c r="A54">
        <v>4</v>
      </c>
      <c r="B54">
        <v>2</v>
      </c>
      <c r="C54" t="str">
        <f>"S"&amp;TEXT(Table1[[#This Row],[Season]],"00")&amp;"E"&amp;TEXT(Table1[[#This Row],[Episode]],"00")</f>
        <v>S04E02</v>
      </c>
      <c r="D54" t="s">
        <v>88</v>
      </c>
      <c r="E54" s="1" t="s">
        <v>89</v>
      </c>
    </row>
    <row r="55" spans="1:5" x14ac:dyDescent="0.25">
      <c r="A55">
        <v>4</v>
      </c>
      <c r="B55">
        <v>3</v>
      </c>
      <c r="C55" t="str">
        <f>"S"&amp;TEXT(Table1[[#This Row],[Season]],"00")&amp;"E"&amp;TEXT(Table1[[#This Row],[Episode]],"00")</f>
        <v>S04E03</v>
      </c>
      <c r="D55" t="s">
        <v>90</v>
      </c>
      <c r="E55" s="1" t="s">
        <v>91</v>
      </c>
    </row>
    <row r="56" spans="1:5" x14ac:dyDescent="0.25">
      <c r="A56">
        <v>4</v>
      </c>
      <c r="B56">
        <v>4</v>
      </c>
      <c r="C56" t="str">
        <f>"S"&amp;TEXT(Table1[[#This Row],[Season]],"00")&amp;"E"&amp;TEXT(Table1[[#This Row],[Episode]],"00")</f>
        <v>S04E04</v>
      </c>
      <c r="D56" t="s">
        <v>92</v>
      </c>
      <c r="E56" s="1" t="s">
        <v>93</v>
      </c>
    </row>
    <row r="57" spans="1:5" x14ac:dyDescent="0.25">
      <c r="A57">
        <v>4</v>
      </c>
      <c r="B57">
        <v>5</v>
      </c>
      <c r="C57" t="str">
        <f>"S"&amp;TEXT(Table1[[#This Row],[Season]],"00")&amp;"E"&amp;TEXT(Table1[[#This Row],[Episode]],"00")</f>
        <v>S04E05</v>
      </c>
      <c r="D57" t="s">
        <v>94</v>
      </c>
      <c r="E57" s="1" t="s">
        <v>365</v>
      </c>
    </row>
    <row r="58" spans="1:5" x14ac:dyDescent="0.25">
      <c r="A58">
        <v>4</v>
      </c>
      <c r="B58">
        <v>6</v>
      </c>
      <c r="C58" t="str">
        <f>"S"&amp;TEXT(Table1[[#This Row],[Season]],"00")&amp;"E"&amp;TEXT(Table1[[#This Row],[Episode]],"00")</f>
        <v>S04E06</v>
      </c>
      <c r="D58" t="s">
        <v>95</v>
      </c>
      <c r="E58" s="1" t="s">
        <v>366</v>
      </c>
    </row>
    <row r="59" spans="1:5" x14ac:dyDescent="0.25">
      <c r="A59">
        <v>4</v>
      </c>
      <c r="B59">
        <v>7</v>
      </c>
      <c r="C59" t="str">
        <f>"S"&amp;TEXT(Table1[[#This Row],[Season]],"00")&amp;"E"&amp;TEXT(Table1[[#This Row],[Episode]],"00")</f>
        <v>S04E07</v>
      </c>
      <c r="D59" t="s">
        <v>96</v>
      </c>
      <c r="E59" s="1" t="s">
        <v>362</v>
      </c>
    </row>
    <row r="60" spans="1:5" x14ac:dyDescent="0.25">
      <c r="A60">
        <v>4</v>
      </c>
      <c r="B60">
        <v>8</v>
      </c>
      <c r="C60" t="str">
        <f>"S"&amp;TEXT(Table1[[#This Row],[Season]],"00")&amp;"E"&amp;TEXT(Table1[[#This Row],[Episode]],"00")</f>
        <v>S04E08</v>
      </c>
      <c r="D60" t="s">
        <v>97</v>
      </c>
      <c r="E60" s="1" t="s">
        <v>367</v>
      </c>
    </row>
    <row r="61" spans="1:5" x14ac:dyDescent="0.25">
      <c r="A61">
        <v>4</v>
      </c>
      <c r="B61">
        <v>9</v>
      </c>
      <c r="C61" t="str">
        <f>"S"&amp;TEXT(Table1[[#This Row],[Season]],"00")&amp;"E"&amp;TEXT(Table1[[#This Row],[Episode]],"00")</f>
        <v>S04E09</v>
      </c>
      <c r="D61" t="s">
        <v>98</v>
      </c>
      <c r="E61" s="1" t="s">
        <v>99</v>
      </c>
    </row>
    <row r="62" spans="1:5" x14ac:dyDescent="0.25">
      <c r="A62">
        <v>4</v>
      </c>
      <c r="B62">
        <v>10</v>
      </c>
      <c r="C62" t="str">
        <f>"S"&amp;TEXT(Table1[[#This Row],[Season]],"00")&amp;"E"&amp;TEXT(Table1[[#This Row],[Episode]],"00")</f>
        <v>S04E10</v>
      </c>
      <c r="D62" t="s">
        <v>100</v>
      </c>
      <c r="E62" s="1" t="s">
        <v>101</v>
      </c>
    </row>
    <row r="63" spans="1:5" x14ac:dyDescent="0.25">
      <c r="A63">
        <v>4</v>
      </c>
      <c r="B63">
        <v>11</v>
      </c>
      <c r="C63" t="str">
        <f>"S"&amp;TEXT(Table1[[#This Row],[Season]],"00")&amp;"E"&amp;TEXT(Table1[[#This Row],[Episode]],"00")</f>
        <v>S04E11</v>
      </c>
      <c r="D63" t="s">
        <v>102</v>
      </c>
      <c r="E63" s="1" t="s">
        <v>368</v>
      </c>
    </row>
    <row r="64" spans="1:5" x14ac:dyDescent="0.25">
      <c r="A64">
        <v>4</v>
      </c>
      <c r="B64">
        <v>12</v>
      </c>
      <c r="C64" t="str">
        <f>"S"&amp;TEXT(Table1[[#This Row],[Season]],"00")&amp;"E"&amp;TEXT(Table1[[#This Row],[Episode]],"00")</f>
        <v>S04E12</v>
      </c>
      <c r="D64" t="s">
        <v>103</v>
      </c>
      <c r="E64" s="1" t="s">
        <v>104</v>
      </c>
    </row>
    <row r="65" spans="1:5" x14ac:dyDescent="0.25">
      <c r="A65">
        <v>5</v>
      </c>
      <c r="B65">
        <v>1</v>
      </c>
      <c r="C65" t="str">
        <f>"S"&amp;TEXT(Table1[[#This Row],[Season]],"00")&amp;"E"&amp;TEXT(Table1[[#This Row],[Episode]],"00")</f>
        <v>S05E01</v>
      </c>
      <c r="D65" t="s">
        <v>106</v>
      </c>
      <c r="E65" s="1" t="s">
        <v>107</v>
      </c>
    </row>
    <row r="66" spans="1:5" x14ac:dyDescent="0.25">
      <c r="A66">
        <v>5</v>
      </c>
      <c r="B66">
        <v>2</v>
      </c>
      <c r="C66" t="str">
        <f>"S"&amp;TEXT(Table1[[#This Row],[Season]],"00")&amp;"E"&amp;TEXT(Table1[[#This Row],[Episode]],"00")</f>
        <v>S05E02</v>
      </c>
      <c r="D66" t="s">
        <v>108</v>
      </c>
      <c r="E66" s="1" t="s">
        <v>109</v>
      </c>
    </row>
    <row r="67" spans="1:5" x14ac:dyDescent="0.25">
      <c r="A67">
        <v>5</v>
      </c>
      <c r="B67">
        <v>3</v>
      </c>
      <c r="C67" t="str">
        <f>"S"&amp;TEXT(Table1[[#This Row],[Season]],"00")&amp;"E"&amp;TEXT(Table1[[#This Row],[Episode]],"00")</f>
        <v>S05E03</v>
      </c>
      <c r="D67" t="s">
        <v>110</v>
      </c>
      <c r="E67" s="1" t="s">
        <v>111</v>
      </c>
    </row>
    <row r="68" spans="1:5" x14ac:dyDescent="0.25">
      <c r="A68">
        <v>5</v>
      </c>
      <c r="B68">
        <v>4</v>
      </c>
      <c r="C68" t="str">
        <f>"S"&amp;TEXT(Table1[[#This Row],[Season]],"00")&amp;"E"&amp;TEXT(Table1[[#This Row],[Episode]],"00")</f>
        <v>S05E04</v>
      </c>
      <c r="D68" t="s">
        <v>112</v>
      </c>
      <c r="E68" s="1" t="s">
        <v>113</v>
      </c>
    </row>
    <row r="69" spans="1:5" x14ac:dyDescent="0.25">
      <c r="A69">
        <v>5</v>
      </c>
      <c r="B69">
        <v>5</v>
      </c>
      <c r="C69" t="str">
        <f>"S"&amp;TEXT(Table1[[#This Row],[Season]],"00")&amp;"E"&amp;TEXT(Table1[[#This Row],[Episode]],"00")</f>
        <v>S05E05</v>
      </c>
      <c r="D69" t="s">
        <v>114</v>
      </c>
      <c r="E69" s="1" t="s">
        <v>369</v>
      </c>
    </row>
    <row r="70" spans="1:5" x14ac:dyDescent="0.25">
      <c r="A70">
        <v>5</v>
      </c>
      <c r="B70">
        <v>6</v>
      </c>
      <c r="C70" t="str">
        <f>"S"&amp;TEXT(Table1[[#This Row],[Season]],"00")&amp;"E"&amp;TEXT(Table1[[#This Row],[Episode]],"00")</f>
        <v>S05E06</v>
      </c>
      <c r="D70" t="s">
        <v>115</v>
      </c>
      <c r="E70" s="1" t="s">
        <v>370</v>
      </c>
    </row>
    <row r="71" spans="1:5" x14ac:dyDescent="0.25">
      <c r="A71">
        <v>5</v>
      </c>
      <c r="B71">
        <v>7</v>
      </c>
      <c r="C71" t="str">
        <f>"S"&amp;TEXT(Table1[[#This Row],[Season]],"00")&amp;"E"&amp;TEXT(Table1[[#This Row],[Episode]],"00")</f>
        <v>S05E07</v>
      </c>
      <c r="D71" t="s">
        <v>116</v>
      </c>
      <c r="E71" s="1" t="s">
        <v>117</v>
      </c>
    </row>
    <row r="72" spans="1:5" x14ac:dyDescent="0.25">
      <c r="A72">
        <v>5</v>
      </c>
      <c r="B72">
        <v>8</v>
      </c>
      <c r="C72" t="str">
        <f>"S"&amp;TEXT(Table1[[#This Row],[Season]],"00")&amp;"E"&amp;TEXT(Table1[[#This Row],[Episode]],"00")</f>
        <v>S05E08</v>
      </c>
      <c r="D72" t="s">
        <v>118</v>
      </c>
      <c r="E72" s="1" t="s">
        <v>119</v>
      </c>
    </row>
    <row r="73" spans="1:5" x14ac:dyDescent="0.25">
      <c r="A73">
        <v>5</v>
      </c>
      <c r="B73">
        <v>9</v>
      </c>
      <c r="C73" t="str">
        <f>"S"&amp;TEXT(Table1[[#This Row],[Season]],"00")&amp;"E"&amp;TEXT(Table1[[#This Row],[Episode]],"00")</f>
        <v>S05E09</v>
      </c>
      <c r="D73" t="s">
        <v>120</v>
      </c>
      <c r="E73" s="1" t="s">
        <v>121</v>
      </c>
    </row>
    <row r="74" spans="1:5" x14ac:dyDescent="0.25">
      <c r="A74">
        <v>5</v>
      </c>
      <c r="B74">
        <v>10</v>
      </c>
      <c r="C74" t="str">
        <f>"S"&amp;TEXT(Table1[[#This Row],[Season]],"00")&amp;"E"&amp;TEXT(Table1[[#This Row],[Episode]],"00")</f>
        <v>S05E10</v>
      </c>
      <c r="D74" t="s">
        <v>122</v>
      </c>
      <c r="E74" s="1" t="s">
        <v>123</v>
      </c>
    </row>
    <row r="75" spans="1:5" x14ac:dyDescent="0.25">
      <c r="A75">
        <v>6</v>
      </c>
      <c r="B75">
        <v>1</v>
      </c>
      <c r="C75" t="str">
        <f>"S"&amp;TEXT(Table1[[#This Row],[Season]],"00")&amp;"E"&amp;TEXT(Table1[[#This Row],[Episode]],"00")</f>
        <v>S06E01</v>
      </c>
      <c r="D75" t="s">
        <v>125</v>
      </c>
      <c r="E75" s="1" t="s">
        <v>371</v>
      </c>
    </row>
    <row r="76" spans="1:5" x14ac:dyDescent="0.25">
      <c r="A76">
        <v>6</v>
      </c>
      <c r="B76">
        <v>2</v>
      </c>
      <c r="C76" t="str">
        <f>"S"&amp;TEXT(Table1[[#This Row],[Season]],"00")&amp;"E"&amp;TEXT(Table1[[#This Row],[Episode]],"00")</f>
        <v>S06E02</v>
      </c>
      <c r="D76" t="s">
        <v>126</v>
      </c>
      <c r="E76" s="1" t="s">
        <v>372</v>
      </c>
    </row>
    <row r="77" spans="1:5" x14ac:dyDescent="0.25">
      <c r="A77">
        <v>6</v>
      </c>
      <c r="B77">
        <v>3</v>
      </c>
      <c r="C77" t="str">
        <f>"S"&amp;TEXT(Table1[[#This Row],[Season]],"00")&amp;"E"&amp;TEXT(Table1[[#This Row],[Episode]],"00")</f>
        <v>S06E03</v>
      </c>
      <c r="D77" t="s">
        <v>127</v>
      </c>
      <c r="E77" s="1" t="s">
        <v>128</v>
      </c>
    </row>
    <row r="78" spans="1:5" x14ac:dyDescent="0.25">
      <c r="A78">
        <v>6</v>
      </c>
      <c r="B78">
        <v>4</v>
      </c>
      <c r="C78" t="str">
        <f>"S"&amp;TEXT(Table1[[#This Row],[Season]],"00")&amp;"E"&amp;TEXT(Table1[[#This Row],[Episode]],"00")</f>
        <v>S06E04</v>
      </c>
      <c r="D78" t="s">
        <v>129</v>
      </c>
      <c r="E78" s="1" t="s">
        <v>130</v>
      </c>
    </row>
    <row r="79" spans="1:5" x14ac:dyDescent="0.25">
      <c r="A79">
        <v>6</v>
      </c>
      <c r="B79">
        <v>5</v>
      </c>
      <c r="C79" t="str">
        <f>"S"&amp;TEXT(Table1[[#This Row],[Season]],"00")&amp;"E"&amp;TEXT(Table1[[#This Row],[Episode]],"00")</f>
        <v>S06E05</v>
      </c>
      <c r="D79" t="s">
        <v>131</v>
      </c>
      <c r="E79" s="1" t="s">
        <v>132</v>
      </c>
    </row>
    <row r="80" spans="1:5" x14ac:dyDescent="0.25">
      <c r="A80">
        <v>6</v>
      </c>
      <c r="B80">
        <v>6</v>
      </c>
      <c r="C80" t="str">
        <f>"S"&amp;TEXT(Table1[[#This Row],[Season]],"00")&amp;"E"&amp;TEXT(Table1[[#This Row],[Episode]],"00")</f>
        <v>S06E06</v>
      </c>
      <c r="D80" t="s">
        <v>133</v>
      </c>
      <c r="E80" s="1" t="s">
        <v>134</v>
      </c>
    </row>
    <row r="81" spans="1:5" x14ac:dyDescent="0.25">
      <c r="A81">
        <v>6</v>
      </c>
      <c r="B81">
        <v>7</v>
      </c>
      <c r="C81" t="str">
        <f>"S"&amp;TEXT(Table1[[#This Row],[Season]],"00")&amp;"E"&amp;TEXT(Table1[[#This Row],[Episode]],"00")</f>
        <v>S06E07</v>
      </c>
      <c r="D81" t="s">
        <v>135</v>
      </c>
      <c r="E81" s="1" t="s">
        <v>136</v>
      </c>
    </row>
    <row r="82" spans="1:5" x14ac:dyDescent="0.25">
      <c r="A82">
        <v>7</v>
      </c>
      <c r="B82">
        <v>1</v>
      </c>
      <c r="C82" t="str">
        <f>"S"&amp;TEXT(Table1[[#This Row],[Season]],"00")&amp;"E"&amp;TEXT(Table1[[#This Row],[Episode]],"00")</f>
        <v>S07E01</v>
      </c>
      <c r="D82" t="s">
        <v>138</v>
      </c>
      <c r="E82" s="1" t="s">
        <v>139</v>
      </c>
    </row>
    <row r="83" spans="1:5" x14ac:dyDescent="0.25">
      <c r="A83">
        <v>7</v>
      </c>
      <c r="B83">
        <v>2</v>
      </c>
      <c r="C83" t="str">
        <f>"S"&amp;TEXT(Table1[[#This Row],[Season]],"00")&amp;"E"&amp;TEXT(Table1[[#This Row],[Episode]],"00")</f>
        <v>S07E02</v>
      </c>
      <c r="D83" t="s">
        <v>140</v>
      </c>
      <c r="E83" s="1" t="s">
        <v>373</v>
      </c>
    </row>
    <row r="84" spans="1:5" x14ac:dyDescent="0.25">
      <c r="A84">
        <v>7</v>
      </c>
      <c r="B84">
        <v>3</v>
      </c>
      <c r="C84" t="str">
        <f>"S"&amp;TEXT(Table1[[#This Row],[Season]],"00")&amp;"E"&amp;TEXT(Table1[[#This Row],[Episode]],"00")</f>
        <v>S07E03</v>
      </c>
      <c r="D84" t="s">
        <v>141</v>
      </c>
      <c r="E84" s="1" t="s">
        <v>142</v>
      </c>
    </row>
    <row r="85" spans="1:5" x14ac:dyDescent="0.25">
      <c r="A85">
        <v>7</v>
      </c>
      <c r="B85">
        <v>4</v>
      </c>
      <c r="C85" t="str">
        <f>"S"&amp;TEXT(Table1[[#This Row],[Season]],"00")&amp;"E"&amp;TEXT(Table1[[#This Row],[Episode]],"00")</f>
        <v>S07E04</v>
      </c>
      <c r="D85" t="s">
        <v>143</v>
      </c>
      <c r="E85" s="1" t="s">
        <v>144</v>
      </c>
    </row>
    <row r="86" spans="1:5" x14ac:dyDescent="0.25">
      <c r="A86">
        <v>7</v>
      </c>
      <c r="B86">
        <v>5</v>
      </c>
      <c r="C86" t="str">
        <f>"S"&amp;TEXT(Table1[[#This Row],[Season]],"00")&amp;"E"&amp;TEXT(Table1[[#This Row],[Episode]],"00")</f>
        <v>S07E05</v>
      </c>
      <c r="D86" t="s">
        <v>145</v>
      </c>
      <c r="E86" s="1" t="s">
        <v>374</v>
      </c>
    </row>
    <row r="87" spans="1:5" x14ac:dyDescent="0.25">
      <c r="A87">
        <v>7</v>
      </c>
      <c r="B87">
        <v>6</v>
      </c>
      <c r="C87" t="str">
        <f>"S"&amp;TEXT(Table1[[#This Row],[Season]],"00")&amp;"E"&amp;TEXT(Table1[[#This Row],[Episode]],"00")</f>
        <v>S07E06</v>
      </c>
      <c r="D87" t="s">
        <v>146</v>
      </c>
      <c r="E87" s="1" t="s">
        <v>375</v>
      </c>
    </row>
    <row r="88" spans="1:5" x14ac:dyDescent="0.25">
      <c r="A88">
        <v>7</v>
      </c>
      <c r="B88">
        <v>7</v>
      </c>
      <c r="C88" t="str">
        <f>"S"&amp;TEXT(Table1[[#This Row],[Season]],"00")&amp;"E"&amp;TEXT(Table1[[#This Row],[Episode]],"00")</f>
        <v>S07E07</v>
      </c>
      <c r="D88" t="s">
        <v>147</v>
      </c>
      <c r="E88" s="1" t="s">
        <v>376</v>
      </c>
    </row>
    <row r="89" spans="1:5" x14ac:dyDescent="0.25">
      <c r="A89">
        <v>7</v>
      </c>
      <c r="B89">
        <v>8</v>
      </c>
      <c r="C89" t="str">
        <f>"S"&amp;TEXT(Table1[[#This Row],[Season]],"00")&amp;"E"&amp;TEXT(Table1[[#This Row],[Episode]],"00")</f>
        <v>S07E08</v>
      </c>
      <c r="D89" t="s">
        <v>148</v>
      </c>
      <c r="E89" s="1" t="s">
        <v>149</v>
      </c>
    </row>
    <row r="90" spans="1:5" x14ac:dyDescent="0.25">
      <c r="A90">
        <v>7</v>
      </c>
      <c r="B90">
        <v>9</v>
      </c>
      <c r="C90" t="str">
        <f>"S"&amp;TEXT(Table1[[#This Row],[Season]],"00")&amp;"E"&amp;TEXT(Table1[[#This Row],[Episode]],"00")</f>
        <v>S07E09</v>
      </c>
      <c r="D90" t="s">
        <v>150</v>
      </c>
      <c r="E90" s="1" t="s">
        <v>151</v>
      </c>
    </row>
    <row r="91" spans="1:5" x14ac:dyDescent="0.25">
      <c r="A91">
        <v>7</v>
      </c>
      <c r="B91">
        <v>10</v>
      </c>
      <c r="C91" t="str">
        <f>"S"&amp;TEXT(Table1[[#This Row],[Season]],"00")&amp;"E"&amp;TEXT(Table1[[#This Row],[Episode]],"00")</f>
        <v>S07E10</v>
      </c>
      <c r="D91" t="s">
        <v>152</v>
      </c>
      <c r="E91" s="1" t="s">
        <v>153</v>
      </c>
    </row>
    <row r="92" spans="1:5" x14ac:dyDescent="0.25">
      <c r="A92">
        <v>7</v>
      </c>
      <c r="B92">
        <v>11</v>
      </c>
      <c r="C92" t="str">
        <f>"S"&amp;TEXT(Table1[[#This Row],[Season]],"00")&amp;"E"&amp;TEXT(Table1[[#This Row],[Episode]],"00")</f>
        <v>S07E11</v>
      </c>
      <c r="D92" t="s">
        <v>154</v>
      </c>
      <c r="E92" s="1" t="s">
        <v>155</v>
      </c>
    </row>
    <row r="93" spans="1:5" x14ac:dyDescent="0.25">
      <c r="A93">
        <v>7</v>
      </c>
      <c r="B93">
        <v>12</v>
      </c>
      <c r="C93" t="str">
        <f>"S"&amp;TEXT(Table1[[#This Row],[Season]],"00")&amp;"E"&amp;TEXT(Table1[[#This Row],[Episode]],"00")</f>
        <v>S07E12</v>
      </c>
      <c r="D93" t="s">
        <v>156</v>
      </c>
      <c r="E93" s="1" t="s">
        <v>157</v>
      </c>
    </row>
    <row r="94" spans="1:5" x14ac:dyDescent="0.25">
      <c r="A94">
        <v>8</v>
      </c>
      <c r="B94">
        <v>1</v>
      </c>
      <c r="C94" t="str">
        <f>"S"&amp;TEXT(Table1[[#This Row],[Season]],"00")&amp;"E"&amp;TEXT(Table1[[#This Row],[Episode]],"00")</f>
        <v>S08E01</v>
      </c>
      <c r="D94" t="s">
        <v>159</v>
      </c>
      <c r="E94" s="1" t="s">
        <v>160</v>
      </c>
    </row>
    <row r="95" spans="1:5" x14ac:dyDescent="0.25">
      <c r="A95">
        <v>8</v>
      </c>
      <c r="B95">
        <v>2</v>
      </c>
      <c r="C95" t="str">
        <f>"S"&amp;TEXT(Table1[[#This Row],[Season]],"00")&amp;"E"&amp;TEXT(Table1[[#This Row],[Episode]],"00")</f>
        <v>S08E02</v>
      </c>
      <c r="D95" t="s">
        <v>161</v>
      </c>
      <c r="E95" s="1" t="s">
        <v>162</v>
      </c>
    </row>
    <row r="96" spans="1:5" x14ac:dyDescent="0.25">
      <c r="A96">
        <v>8</v>
      </c>
      <c r="B96">
        <v>3</v>
      </c>
      <c r="C96" t="str">
        <f>"S"&amp;TEXT(Table1[[#This Row],[Season]],"00")&amp;"E"&amp;TEXT(Table1[[#This Row],[Episode]],"00")</f>
        <v>S08E03</v>
      </c>
      <c r="D96" t="s">
        <v>163</v>
      </c>
      <c r="E96" s="1" t="s">
        <v>164</v>
      </c>
    </row>
    <row r="97" spans="1:5" x14ac:dyDescent="0.25">
      <c r="A97">
        <v>8</v>
      </c>
      <c r="B97">
        <v>4</v>
      </c>
      <c r="C97" t="str">
        <f>"S"&amp;TEXT(Table1[[#This Row],[Season]],"00")&amp;"E"&amp;TEXT(Table1[[#This Row],[Episode]],"00")</f>
        <v>S08E04</v>
      </c>
      <c r="D97" t="s">
        <v>165</v>
      </c>
      <c r="E97" s="1" t="s">
        <v>377</v>
      </c>
    </row>
    <row r="98" spans="1:5" x14ac:dyDescent="0.25">
      <c r="A98">
        <v>8</v>
      </c>
      <c r="B98">
        <v>5</v>
      </c>
      <c r="C98" t="str">
        <f>"S"&amp;TEXT(Table1[[#This Row],[Season]],"00")&amp;"E"&amp;TEXT(Table1[[#This Row],[Episode]],"00")</f>
        <v>S08E05</v>
      </c>
      <c r="D98" t="s">
        <v>166</v>
      </c>
      <c r="E98" s="1" t="s">
        <v>167</v>
      </c>
    </row>
    <row r="99" spans="1:5" x14ac:dyDescent="0.25">
      <c r="A99">
        <v>8</v>
      </c>
      <c r="B99">
        <v>6</v>
      </c>
      <c r="C99" t="str">
        <f>"S"&amp;TEXT(Table1[[#This Row],[Season]],"00")&amp;"E"&amp;TEXT(Table1[[#This Row],[Episode]],"00")</f>
        <v>S08E06</v>
      </c>
      <c r="D99" t="s">
        <v>168</v>
      </c>
      <c r="E99" s="1" t="s">
        <v>169</v>
      </c>
    </row>
    <row r="100" spans="1:5" x14ac:dyDescent="0.25">
      <c r="A100">
        <v>8</v>
      </c>
      <c r="B100">
        <v>7</v>
      </c>
      <c r="C100" t="str">
        <f>"S"&amp;TEXT(Table1[[#This Row],[Season]],"00")&amp;"E"&amp;TEXT(Table1[[#This Row],[Episode]],"00")</f>
        <v>S08E07</v>
      </c>
      <c r="D100" t="s">
        <v>170</v>
      </c>
      <c r="E100" s="1" t="s">
        <v>378</v>
      </c>
    </row>
    <row r="101" spans="1:5" x14ac:dyDescent="0.25">
      <c r="A101">
        <v>8</v>
      </c>
      <c r="B101">
        <v>8</v>
      </c>
      <c r="C101" t="str">
        <f>"S"&amp;TEXT(Table1[[#This Row],[Season]],"00")&amp;"E"&amp;TEXT(Table1[[#This Row],[Episode]],"00")</f>
        <v>S08E08</v>
      </c>
      <c r="D101" t="s">
        <v>171</v>
      </c>
      <c r="E101" s="1" t="s">
        <v>172</v>
      </c>
    </row>
    <row r="102" spans="1:5" x14ac:dyDescent="0.25">
      <c r="A102">
        <v>9</v>
      </c>
      <c r="B102">
        <v>1</v>
      </c>
      <c r="C102" t="str">
        <f>"S"&amp;TEXT(Table1[[#This Row],[Season]],"00")&amp;"E"&amp;TEXT(Table1[[#This Row],[Episode]],"00")</f>
        <v>S09E01</v>
      </c>
      <c r="D102" t="s">
        <v>174</v>
      </c>
      <c r="E102" s="1" t="s">
        <v>175</v>
      </c>
    </row>
    <row r="103" spans="1:5" x14ac:dyDescent="0.25">
      <c r="A103">
        <v>9</v>
      </c>
      <c r="B103">
        <v>2</v>
      </c>
      <c r="C103" t="str">
        <f>"S"&amp;TEXT(Table1[[#This Row],[Season]],"00")&amp;"E"&amp;TEXT(Table1[[#This Row],[Episode]],"00")</f>
        <v>S09E02</v>
      </c>
      <c r="D103" t="s">
        <v>176</v>
      </c>
      <c r="E103" s="1" t="s">
        <v>379</v>
      </c>
    </row>
    <row r="104" spans="1:5" x14ac:dyDescent="0.25">
      <c r="A104">
        <v>9</v>
      </c>
      <c r="B104">
        <v>3</v>
      </c>
      <c r="C104" t="str">
        <f>"S"&amp;TEXT(Table1[[#This Row],[Season]],"00")&amp;"E"&amp;TEXT(Table1[[#This Row],[Episode]],"00")</f>
        <v>S09E03</v>
      </c>
      <c r="D104" t="s">
        <v>177</v>
      </c>
      <c r="E104" s="1" t="s">
        <v>380</v>
      </c>
    </row>
    <row r="105" spans="1:5" x14ac:dyDescent="0.25">
      <c r="A105">
        <v>9</v>
      </c>
      <c r="B105">
        <v>4</v>
      </c>
      <c r="C105" t="str">
        <f>"S"&amp;TEXT(Table1[[#This Row],[Season]],"00")&amp;"E"&amp;TEXT(Table1[[#This Row],[Episode]],"00")</f>
        <v>S09E04</v>
      </c>
      <c r="D105" t="s">
        <v>178</v>
      </c>
      <c r="E105" s="1" t="s">
        <v>179</v>
      </c>
    </row>
    <row r="106" spans="1:5" x14ac:dyDescent="0.25">
      <c r="A106">
        <v>9</v>
      </c>
      <c r="B106">
        <v>5</v>
      </c>
      <c r="C106" t="str">
        <f>"S"&amp;TEXT(Table1[[#This Row],[Season]],"00")&amp;"E"&amp;TEXT(Table1[[#This Row],[Episode]],"00")</f>
        <v>S09E05</v>
      </c>
      <c r="D106" t="s">
        <v>180</v>
      </c>
      <c r="E106" s="1" t="s">
        <v>181</v>
      </c>
    </row>
    <row r="107" spans="1:5" x14ac:dyDescent="0.25">
      <c r="A107">
        <v>9</v>
      </c>
      <c r="B107">
        <v>6</v>
      </c>
      <c r="C107" t="str">
        <f>"S"&amp;TEXT(Table1[[#This Row],[Season]],"00")&amp;"E"&amp;TEXT(Table1[[#This Row],[Episode]],"00")</f>
        <v>S09E06</v>
      </c>
      <c r="D107" t="s">
        <v>182</v>
      </c>
      <c r="E107" s="1" t="s">
        <v>381</v>
      </c>
    </row>
    <row r="108" spans="1:5" x14ac:dyDescent="0.25">
      <c r="A108">
        <v>9</v>
      </c>
      <c r="B108">
        <v>7</v>
      </c>
      <c r="C108" t="str">
        <f>"S"&amp;TEXT(Table1[[#This Row],[Season]],"00")&amp;"E"&amp;TEXT(Table1[[#This Row],[Episode]],"00")</f>
        <v>S09E07</v>
      </c>
      <c r="D108" t="s">
        <v>183</v>
      </c>
      <c r="E108" s="1" t="s">
        <v>382</v>
      </c>
    </row>
    <row r="109" spans="1:5" x14ac:dyDescent="0.25">
      <c r="A109">
        <v>9</v>
      </c>
      <c r="B109">
        <v>8</v>
      </c>
      <c r="C109" t="str">
        <f>"S"&amp;TEXT(Table1[[#This Row],[Season]],"00")&amp;"E"&amp;TEXT(Table1[[#This Row],[Episode]],"00")</f>
        <v>S09E08</v>
      </c>
      <c r="D109" t="s">
        <v>184</v>
      </c>
      <c r="E109" s="1" t="s">
        <v>383</v>
      </c>
    </row>
    <row r="110" spans="1:5" x14ac:dyDescent="0.25">
      <c r="A110">
        <v>9</v>
      </c>
      <c r="B110">
        <v>9</v>
      </c>
      <c r="C110" t="str">
        <f>"S"&amp;TEXT(Table1[[#This Row],[Season]],"00")&amp;"E"&amp;TEXT(Table1[[#This Row],[Episode]],"00")</f>
        <v>S09E09</v>
      </c>
      <c r="D110" t="s">
        <v>185</v>
      </c>
      <c r="E110" s="1" t="s">
        <v>384</v>
      </c>
    </row>
    <row r="111" spans="1:5" x14ac:dyDescent="0.25">
      <c r="A111">
        <v>9</v>
      </c>
      <c r="B111">
        <v>10</v>
      </c>
      <c r="C111" t="str">
        <f>"S"&amp;TEXT(Table1[[#This Row],[Season]],"00")&amp;"E"&amp;TEXT(Table1[[#This Row],[Episode]],"00")</f>
        <v>S09E10</v>
      </c>
      <c r="D111" t="s">
        <v>186</v>
      </c>
      <c r="E111" s="1" t="s">
        <v>385</v>
      </c>
    </row>
    <row r="112" spans="1:5" x14ac:dyDescent="0.25">
      <c r="A112">
        <v>9</v>
      </c>
      <c r="B112">
        <v>11</v>
      </c>
      <c r="C112" t="str">
        <f>"S"&amp;TEXT(Table1[[#This Row],[Season]],"00")&amp;"E"&amp;TEXT(Table1[[#This Row],[Episode]],"00")</f>
        <v>S09E11</v>
      </c>
      <c r="D112" t="s">
        <v>187</v>
      </c>
      <c r="E112" s="1" t="s">
        <v>188</v>
      </c>
    </row>
    <row r="113" spans="1:5" x14ac:dyDescent="0.25">
      <c r="A113">
        <v>10</v>
      </c>
      <c r="B113">
        <v>1</v>
      </c>
      <c r="C113" t="str">
        <f>"S"&amp;TEXT(Table1[[#This Row],[Season]],"00")&amp;"E"&amp;TEXT(Table1[[#This Row],[Episode]],"00")</f>
        <v>S10E01</v>
      </c>
      <c r="D113" t="s">
        <v>190</v>
      </c>
      <c r="E113" s="1" t="s">
        <v>191</v>
      </c>
    </row>
    <row r="114" spans="1:5" x14ac:dyDescent="0.25">
      <c r="A114">
        <v>10</v>
      </c>
      <c r="B114">
        <v>2</v>
      </c>
      <c r="C114" t="str">
        <f>"S"&amp;TEXT(Table1[[#This Row],[Season]],"00")&amp;"E"&amp;TEXT(Table1[[#This Row],[Episode]],"00")</f>
        <v>S10E02</v>
      </c>
      <c r="D114" t="s">
        <v>192</v>
      </c>
      <c r="E114" s="1" t="s">
        <v>193</v>
      </c>
    </row>
    <row r="115" spans="1:5" x14ac:dyDescent="0.25">
      <c r="A115">
        <v>10</v>
      </c>
      <c r="B115">
        <v>3</v>
      </c>
      <c r="C115" t="str">
        <f>"S"&amp;TEXT(Table1[[#This Row],[Season]],"00")&amp;"E"&amp;TEXT(Table1[[#This Row],[Episode]],"00")</f>
        <v>S10E03</v>
      </c>
      <c r="D115" t="s">
        <v>194</v>
      </c>
      <c r="E115" s="1" t="s">
        <v>195</v>
      </c>
    </row>
    <row r="116" spans="1:5" x14ac:dyDescent="0.25">
      <c r="A116">
        <v>10</v>
      </c>
      <c r="B116">
        <v>4</v>
      </c>
      <c r="C116" t="str">
        <f>"S"&amp;TEXT(Table1[[#This Row],[Season]],"00")&amp;"E"&amp;TEXT(Table1[[#This Row],[Episode]],"00")</f>
        <v>S10E04</v>
      </c>
      <c r="D116" t="s">
        <v>196</v>
      </c>
      <c r="E116" s="1" t="s">
        <v>386</v>
      </c>
    </row>
    <row r="117" spans="1:5" x14ac:dyDescent="0.25">
      <c r="A117">
        <v>10</v>
      </c>
      <c r="B117">
        <v>5</v>
      </c>
      <c r="C117" t="str">
        <f>"S"&amp;TEXT(Table1[[#This Row],[Season]],"00")&amp;"E"&amp;TEXT(Table1[[#This Row],[Episode]],"00")</f>
        <v>S10E05</v>
      </c>
      <c r="D117" t="s">
        <v>197</v>
      </c>
      <c r="E117" s="1" t="s">
        <v>198</v>
      </c>
    </row>
    <row r="118" spans="1:5" x14ac:dyDescent="0.25">
      <c r="A118">
        <v>10</v>
      </c>
      <c r="B118">
        <v>6</v>
      </c>
      <c r="C118" t="str">
        <f>"S"&amp;TEXT(Table1[[#This Row],[Season]],"00")&amp;"E"&amp;TEXT(Table1[[#This Row],[Episode]],"00")</f>
        <v>S10E06</v>
      </c>
      <c r="D118" t="s">
        <v>199</v>
      </c>
      <c r="E118" s="1" t="s">
        <v>200</v>
      </c>
    </row>
    <row r="119" spans="1:5" x14ac:dyDescent="0.25">
      <c r="A119">
        <v>10</v>
      </c>
      <c r="B119">
        <v>7</v>
      </c>
      <c r="C119" t="str">
        <f>"S"&amp;TEXT(Table1[[#This Row],[Season]],"00")&amp;"E"&amp;TEXT(Table1[[#This Row],[Episode]],"00")</f>
        <v>S10E07</v>
      </c>
      <c r="D119" t="s">
        <v>201</v>
      </c>
      <c r="E119" s="1" t="s">
        <v>202</v>
      </c>
    </row>
    <row r="120" spans="1:5" x14ac:dyDescent="0.25">
      <c r="A120">
        <v>10</v>
      </c>
      <c r="B120">
        <v>8</v>
      </c>
      <c r="C120" t="str">
        <f>"S"&amp;TEXT(Table1[[#This Row],[Season]],"00")&amp;"E"&amp;TEXT(Table1[[#This Row],[Episode]],"00")</f>
        <v>S10E08</v>
      </c>
      <c r="D120" t="s">
        <v>203</v>
      </c>
      <c r="E120" s="1" t="s">
        <v>387</v>
      </c>
    </row>
    <row r="121" spans="1:5" x14ac:dyDescent="0.25">
      <c r="A121">
        <v>10</v>
      </c>
      <c r="B121">
        <v>9</v>
      </c>
      <c r="C121" t="str">
        <f>"S"&amp;TEXT(Table1[[#This Row],[Season]],"00")&amp;"E"&amp;TEXT(Table1[[#This Row],[Episode]],"00")</f>
        <v>S10E09</v>
      </c>
      <c r="D121" t="s">
        <v>204</v>
      </c>
      <c r="E121" s="1" t="s">
        <v>388</v>
      </c>
    </row>
    <row r="122" spans="1:5" x14ac:dyDescent="0.25">
      <c r="A122">
        <v>10</v>
      </c>
      <c r="B122">
        <v>10</v>
      </c>
      <c r="C122" t="str">
        <f>"S"&amp;TEXT(Table1[[#This Row],[Season]],"00")&amp;"E"&amp;TEXT(Table1[[#This Row],[Episode]],"00")</f>
        <v>S10E10</v>
      </c>
      <c r="D122" t="s">
        <v>205</v>
      </c>
      <c r="E122" s="1" t="s">
        <v>206</v>
      </c>
    </row>
    <row r="123" spans="1:5" x14ac:dyDescent="0.25">
      <c r="A123">
        <v>10</v>
      </c>
      <c r="B123">
        <v>11</v>
      </c>
      <c r="C123" t="str">
        <f>"S"&amp;TEXT(Table1[[#This Row],[Season]],"00")&amp;"E"&amp;TEXT(Table1[[#This Row],[Episode]],"00")</f>
        <v>S10E11</v>
      </c>
      <c r="D123" t="s">
        <v>207</v>
      </c>
      <c r="E123" s="1" t="s">
        <v>208</v>
      </c>
    </row>
    <row r="124" spans="1:5" x14ac:dyDescent="0.25">
      <c r="A124">
        <v>10</v>
      </c>
      <c r="B124">
        <v>12</v>
      </c>
      <c r="C124" t="str">
        <f>"S"&amp;TEXT(Table1[[#This Row],[Season]],"00")&amp;"E"&amp;TEXT(Table1[[#This Row],[Episode]],"00")</f>
        <v>S10E12</v>
      </c>
      <c r="D124" t="s">
        <v>209</v>
      </c>
      <c r="E124" s="1" t="s">
        <v>210</v>
      </c>
    </row>
    <row r="125" spans="1:5" x14ac:dyDescent="0.25">
      <c r="A125">
        <v>11</v>
      </c>
      <c r="B125">
        <v>1</v>
      </c>
      <c r="C125" t="str">
        <f>"S"&amp;TEXT(Table1[[#This Row],[Season]],"00")&amp;"E"&amp;TEXT(Table1[[#This Row],[Episode]],"00")</f>
        <v>S11E01</v>
      </c>
      <c r="D125" t="s">
        <v>212</v>
      </c>
      <c r="E125" s="1" t="s">
        <v>213</v>
      </c>
    </row>
    <row r="126" spans="1:5" x14ac:dyDescent="0.25">
      <c r="A126">
        <v>11</v>
      </c>
      <c r="B126">
        <v>2</v>
      </c>
      <c r="C126" t="str">
        <f>"S"&amp;TEXT(Table1[[#This Row],[Season]],"00")&amp;"E"&amp;TEXT(Table1[[#This Row],[Episode]],"00")</f>
        <v>S11E02</v>
      </c>
      <c r="D126" t="s">
        <v>214</v>
      </c>
      <c r="E126" s="1" t="s">
        <v>215</v>
      </c>
    </row>
    <row r="127" spans="1:5" x14ac:dyDescent="0.25">
      <c r="A127">
        <v>11</v>
      </c>
      <c r="B127">
        <v>3</v>
      </c>
      <c r="C127" t="str">
        <f>"S"&amp;TEXT(Table1[[#This Row],[Season]],"00")&amp;"E"&amp;TEXT(Table1[[#This Row],[Episode]],"00")</f>
        <v>S11E03</v>
      </c>
      <c r="D127" t="s">
        <v>216</v>
      </c>
      <c r="E127" s="1" t="s">
        <v>217</v>
      </c>
    </row>
    <row r="128" spans="1:5" x14ac:dyDescent="0.25">
      <c r="A128">
        <v>11</v>
      </c>
      <c r="B128">
        <v>4</v>
      </c>
      <c r="C128" t="str">
        <f>"S"&amp;TEXT(Table1[[#This Row],[Season]],"00")&amp;"E"&amp;TEXT(Table1[[#This Row],[Episode]],"00")</f>
        <v>S11E04</v>
      </c>
      <c r="D128" t="s">
        <v>218</v>
      </c>
      <c r="E128" s="1" t="s">
        <v>389</v>
      </c>
    </row>
    <row r="129" spans="1:5" x14ac:dyDescent="0.25">
      <c r="A129">
        <v>11</v>
      </c>
      <c r="B129">
        <v>5</v>
      </c>
      <c r="C129" t="str">
        <f>"S"&amp;TEXT(Table1[[#This Row],[Season]],"00")&amp;"E"&amp;TEXT(Table1[[#This Row],[Episode]],"00")</f>
        <v>S11E05</v>
      </c>
      <c r="D129" t="s">
        <v>219</v>
      </c>
      <c r="E129" s="1" t="s">
        <v>390</v>
      </c>
    </row>
    <row r="130" spans="1:5" x14ac:dyDescent="0.25">
      <c r="A130">
        <v>11</v>
      </c>
      <c r="B130">
        <v>6</v>
      </c>
      <c r="C130" t="str">
        <f>"S"&amp;TEXT(Table1[[#This Row],[Season]],"00")&amp;"E"&amp;TEXT(Table1[[#This Row],[Episode]],"00")</f>
        <v>S11E06</v>
      </c>
      <c r="D130" t="s">
        <v>220</v>
      </c>
      <c r="E130" s="1" t="s">
        <v>221</v>
      </c>
    </row>
    <row r="131" spans="1:5" x14ac:dyDescent="0.25">
      <c r="A131">
        <v>11</v>
      </c>
      <c r="B131">
        <v>7</v>
      </c>
      <c r="C131" t="str">
        <f>"S"&amp;TEXT(Table1[[#This Row],[Season]],"00")&amp;"E"&amp;TEXT(Table1[[#This Row],[Episode]],"00")</f>
        <v>S11E07</v>
      </c>
      <c r="D131" t="s">
        <v>222</v>
      </c>
      <c r="E131" s="1" t="s">
        <v>223</v>
      </c>
    </row>
    <row r="132" spans="1:5" x14ac:dyDescent="0.25">
      <c r="A132">
        <v>11</v>
      </c>
      <c r="B132">
        <v>8</v>
      </c>
      <c r="C132" t="str">
        <f>"S"&amp;TEXT(Table1[[#This Row],[Season]],"00")&amp;"E"&amp;TEXT(Table1[[#This Row],[Episode]],"00")</f>
        <v>S11E08</v>
      </c>
      <c r="D132" t="s">
        <v>224</v>
      </c>
      <c r="E132" s="1" t="s">
        <v>225</v>
      </c>
    </row>
    <row r="133" spans="1:5" x14ac:dyDescent="0.25">
      <c r="A133">
        <v>11</v>
      </c>
      <c r="B133">
        <v>9</v>
      </c>
      <c r="C133" t="str">
        <f>"S"&amp;TEXT(Table1[[#This Row],[Season]],"00")&amp;"E"&amp;TEXT(Table1[[#This Row],[Episode]],"00")</f>
        <v>S11E09</v>
      </c>
      <c r="D133" t="s">
        <v>226</v>
      </c>
      <c r="E133" s="1" t="s">
        <v>227</v>
      </c>
    </row>
    <row r="134" spans="1:5" x14ac:dyDescent="0.25">
      <c r="A134">
        <v>12</v>
      </c>
      <c r="B134">
        <v>1</v>
      </c>
      <c r="C134" t="str">
        <f>"S"&amp;TEXT(Table1[[#This Row],[Season]],"00")&amp;"E"&amp;TEXT(Table1[[#This Row],[Episode]],"00")</f>
        <v>S12E01</v>
      </c>
      <c r="D134" t="s">
        <v>229</v>
      </c>
      <c r="E134" s="1" t="s">
        <v>391</v>
      </c>
    </row>
    <row r="135" spans="1:5" x14ac:dyDescent="0.25">
      <c r="A135">
        <v>12</v>
      </c>
      <c r="B135">
        <v>2</v>
      </c>
      <c r="C135" t="str">
        <f>"S"&amp;TEXT(Table1[[#This Row],[Season]],"00")&amp;"E"&amp;TEXT(Table1[[#This Row],[Episode]],"00")</f>
        <v>S12E02</v>
      </c>
      <c r="D135" t="s">
        <v>230</v>
      </c>
      <c r="E135" s="1" t="s">
        <v>231</v>
      </c>
    </row>
    <row r="136" spans="1:5" x14ac:dyDescent="0.25">
      <c r="A136">
        <v>12</v>
      </c>
      <c r="B136">
        <v>3</v>
      </c>
      <c r="C136" t="str">
        <f>"S"&amp;TEXT(Table1[[#This Row],[Season]],"00")&amp;"E"&amp;TEXT(Table1[[#This Row],[Episode]],"00")</f>
        <v>S12E03</v>
      </c>
      <c r="D136" t="s">
        <v>232</v>
      </c>
      <c r="E136" s="1" t="s">
        <v>233</v>
      </c>
    </row>
    <row r="137" spans="1:5" x14ac:dyDescent="0.25">
      <c r="A137">
        <v>12</v>
      </c>
      <c r="B137">
        <v>4</v>
      </c>
      <c r="C137" t="str">
        <f>"S"&amp;TEXT(Table1[[#This Row],[Season]],"00")&amp;"E"&amp;TEXT(Table1[[#This Row],[Episode]],"00")</f>
        <v>S12E04</v>
      </c>
      <c r="D137" t="s">
        <v>234</v>
      </c>
      <c r="E137" s="1" t="s">
        <v>392</v>
      </c>
    </row>
    <row r="138" spans="1:5" x14ac:dyDescent="0.25">
      <c r="A138">
        <v>12</v>
      </c>
      <c r="B138">
        <v>5</v>
      </c>
      <c r="C138" t="str">
        <f>"S"&amp;TEXT(Table1[[#This Row],[Season]],"00")&amp;"E"&amp;TEXT(Table1[[#This Row],[Episode]],"00")</f>
        <v>S12E05</v>
      </c>
      <c r="D138" t="s">
        <v>235</v>
      </c>
      <c r="E138" s="1" t="s">
        <v>236</v>
      </c>
    </row>
    <row r="139" spans="1:5" x14ac:dyDescent="0.25">
      <c r="A139">
        <v>12</v>
      </c>
      <c r="B139">
        <v>6</v>
      </c>
      <c r="C139" t="str">
        <f>"S"&amp;TEXT(Table1[[#This Row],[Season]],"00")&amp;"E"&amp;TEXT(Table1[[#This Row],[Episode]],"00")</f>
        <v>S12E06</v>
      </c>
      <c r="D139" t="s">
        <v>237</v>
      </c>
      <c r="E139" s="1" t="s">
        <v>238</v>
      </c>
    </row>
    <row r="140" spans="1:5" x14ac:dyDescent="0.25">
      <c r="A140">
        <v>12</v>
      </c>
      <c r="B140">
        <v>7</v>
      </c>
      <c r="C140" t="str">
        <f>"S"&amp;TEXT(Table1[[#This Row],[Season]],"00")&amp;"E"&amp;TEXT(Table1[[#This Row],[Episode]],"00")</f>
        <v>S12E07</v>
      </c>
      <c r="D140" t="s">
        <v>239</v>
      </c>
      <c r="E140" s="1" t="s">
        <v>240</v>
      </c>
    </row>
    <row r="141" spans="1:5" x14ac:dyDescent="0.25">
      <c r="A141">
        <v>12</v>
      </c>
      <c r="B141">
        <v>8</v>
      </c>
      <c r="C141" t="str">
        <f>"S"&amp;TEXT(Table1[[#This Row],[Season]],"00")&amp;"E"&amp;TEXT(Table1[[#This Row],[Episode]],"00")</f>
        <v>S12E08</v>
      </c>
      <c r="D141" t="s">
        <v>241</v>
      </c>
      <c r="E141" s="1" t="s">
        <v>393</v>
      </c>
    </row>
    <row r="142" spans="1:5" x14ac:dyDescent="0.25">
      <c r="A142">
        <v>13</v>
      </c>
      <c r="B142">
        <v>1</v>
      </c>
      <c r="C142" t="str">
        <f>"S"&amp;TEXT(Table1[[#This Row],[Season]],"00")&amp;"E"&amp;TEXT(Table1[[#This Row],[Episode]],"00")</f>
        <v>S13E01</v>
      </c>
      <c r="D142" t="s">
        <v>243</v>
      </c>
      <c r="E142" s="1" t="s">
        <v>394</v>
      </c>
    </row>
    <row r="143" spans="1:5" x14ac:dyDescent="0.25">
      <c r="A143">
        <v>13</v>
      </c>
      <c r="B143">
        <v>2</v>
      </c>
      <c r="C143" t="str">
        <f>"S"&amp;TEXT(Table1[[#This Row],[Season]],"00")&amp;"E"&amp;TEXT(Table1[[#This Row],[Episode]],"00")</f>
        <v>S13E02</v>
      </c>
      <c r="D143" t="s">
        <v>244</v>
      </c>
      <c r="E143" s="1" t="s">
        <v>395</v>
      </c>
    </row>
    <row r="144" spans="1:5" x14ac:dyDescent="0.25">
      <c r="A144">
        <v>13</v>
      </c>
      <c r="B144">
        <v>3</v>
      </c>
      <c r="C144" t="str">
        <f>"S"&amp;TEXT(Table1[[#This Row],[Season]],"00")&amp;"E"&amp;TEXT(Table1[[#This Row],[Episode]],"00")</f>
        <v>S13E03</v>
      </c>
      <c r="D144" t="s">
        <v>245</v>
      </c>
      <c r="E144" s="1" t="s">
        <v>246</v>
      </c>
    </row>
    <row r="145" spans="1:5" x14ac:dyDescent="0.25">
      <c r="A145">
        <v>13</v>
      </c>
      <c r="B145">
        <v>4</v>
      </c>
      <c r="C145" t="str">
        <f>"S"&amp;TEXT(Table1[[#This Row],[Season]],"00")&amp;"E"&amp;TEXT(Table1[[#This Row],[Episode]],"00")</f>
        <v>S13E04</v>
      </c>
      <c r="D145" t="s">
        <v>247</v>
      </c>
      <c r="E145" s="1" t="s">
        <v>248</v>
      </c>
    </row>
    <row r="146" spans="1:5" x14ac:dyDescent="0.25">
      <c r="A146">
        <v>13</v>
      </c>
      <c r="B146">
        <v>5</v>
      </c>
      <c r="C146" t="str">
        <f>"S"&amp;TEXT(Table1[[#This Row],[Season]],"00")&amp;"E"&amp;TEXT(Table1[[#This Row],[Episode]],"00")</f>
        <v>S13E05</v>
      </c>
      <c r="D146" t="s">
        <v>249</v>
      </c>
      <c r="E146" s="1" t="s">
        <v>396</v>
      </c>
    </row>
    <row r="147" spans="1:5" x14ac:dyDescent="0.25">
      <c r="A147">
        <v>13</v>
      </c>
      <c r="B147">
        <v>6</v>
      </c>
      <c r="C147" t="str">
        <f>"S"&amp;TEXT(Table1[[#This Row],[Season]],"00")&amp;"E"&amp;TEXT(Table1[[#This Row],[Episode]],"00")</f>
        <v>S13E06</v>
      </c>
      <c r="D147" t="s">
        <v>250</v>
      </c>
      <c r="E147" s="1" t="s">
        <v>397</v>
      </c>
    </row>
    <row r="148" spans="1:5" x14ac:dyDescent="0.25">
      <c r="A148">
        <v>13</v>
      </c>
      <c r="B148">
        <v>7</v>
      </c>
      <c r="C148" t="str">
        <f>"S"&amp;TEXT(Table1[[#This Row],[Season]],"00")&amp;"E"&amp;TEXT(Table1[[#This Row],[Episode]],"00")</f>
        <v>S13E07</v>
      </c>
      <c r="D148" t="s">
        <v>251</v>
      </c>
      <c r="E148" s="1" t="s">
        <v>252</v>
      </c>
    </row>
    <row r="149" spans="1:5" x14ac:dyDescent="0.25">
      <c r="A149">
        <v>13</v>
      </c>
      <c r="B149">
        <v>8</v>
      </c>
      <c r="C149" t="str">
        <f>"S"&amp;TEXT(Table1[[#This Row],[Season]],"00")&amp;"E"&amp;TEXT(Table1[[#This Row],[Episode]],"00")</f>
        <v>S13E08</v>
      </c>
      <c r="D149" t="s">
        <v>253</v>
      </c>
      <c r="E149" s="1" t="s">
        <v>254</v>
      </c>
    </row>
    <row r="150" spans="1:5" x14ac:dyDescent="0.25">
      <c r="A150">
        <v>13</v>
      </c>
      <c r="B150">
        <v>9</v>
      </c>
      <c r="C150" t="str">
        <f>"S"&amp;TEXT(Table1[[#This Row],[Season]],"00")&amp;"E"&amp;TEXT(Table1[[#This Row],[Episode]],"00")</f>
        <v>S13E09</v>
      </c>
      <c r="D150" t="s">
        <v>255</v>
      </c>
      <c r="E150" s="1" t="s">
        <v>256</v>
      </c>
    </row>
    <row r="151" spans="1:5" x14ac:dyDescent="0.25">
      <c r="A151">
        <v>14</v>
      </c>
      <c r="B151">
        <v>1</v>
      </c>
      <c r="C151" t="str">
        <f>"S"&amp;TEXT(Table1[[#This Row],[Season]],"00")&amp;"E"&amp;TEXT(Table1[[#This Row],[Episode]],"00")</f>
        <v>S14E01</v>
      </c>
      <c r="D151" t="s">
        <v>258</v>
      </c>
      <c r="E151" s="1" t="s">
        <v>398</v>
      </c>
    </row>
    <row r="152" spans="1:5" x14ac:dyDescent="0.25">
      <c r="A152">
        <v>14</v>
      </c>
      <c r="B152">
        <v>2</v>
      </c>
      <c r="C152" t="str">
        <f>"S"&amp;TEXT(Table1[[#This Row],[Season]],"00")&amp;"E"&amp;TEXT(Table1[[#This Row],[Episode]],"00")</f>
        <v>S14E02</v>
      </c>
      <c r="D152" t="s">
        <v>259</v>
      </c>
      <c r="E152" s="1" t="s">
        <v>399</v>
      </c>
    </row>
    <row r="153" spans="1:5" x14ac:dyDescent="0.25">
      <c r="A153">
        <v>14</v>
      </c>
      <c r="B153">
        <v>3</v>
      </c>
      <c r="C153" t="str">
        <f>"S"&amp;TEXT(Table1[[#This Row],[Season]],"00")&amp;"E"&amp;TEXT(Table1[[#This Row],[Episode]],"00")</f>
        <v>S14E03</v>
      </c>
      <c r="D153" t="s">
        <v>260</v>
      </c>
      <c r="E153" s="1" t="s">
        <v>261</v>
      </c>
    </row>
    <row r="154" spans="1:5" x14ac:dyDescent="0.25">
      <c r="A154">
        <v>14</v>
      </c>
      <c r="B154">
        <v>4</v>
      </c>
      <c r="C154" t="str">
        <f>"S"&amp;TEXT(Table1[[#This Row],[Season]],"00")&amp;"E"&amp;TEXT(Table1[[#This Row],[Episode]],"00")</f>
        <v>S14E04</v>
      </c>
      <c r="D154" t="s">
        <v>262</v>
      </c>
      <c r="E154" s="1" t="s">
        <v>263</v>
      </c>
    </row>
    <row r="155" spans="1:5" x14ac:dyDescent="0.25">
      <c r="A155">
        <v>14</v>
      </c>
      <c r="B155">
        <v>5</v>
      </c>
      <c r="C155" t="str">
        <f>"S"&amp;TEXT(Table1[[#This Row],[Season]],"00")&amp;"E"&amp;TEXT(Table1[[#This Row],[Episode]],"00")</f>
        <v>S14E05</v>
      </c>
      <c r="D155" t="s">
        <v>264</v>
      </c>
      <c r="E155" s="1" t="s">
        <v>400</v>
      </c>
    </row>
    <row r="156" spans="1:5" x14ac:dyDescent="0.25">
      <c r="A156">
        <v>14</v>
      </c>
      <c r="B156">
        <v>6</v>
      </c>
      <c r="C156" t="str">
        <f>"S"&amp;TEXT(Table1[[#This Row],[Season]],"00")&amp;"E"&amp;TEXT(Table1[[#This Row],[Episode]],"00")</f>
        <v>S14E06</v>
      </c>
      <c r="D156" t="s">
        <v>265</v>
      </c>
      <c r="E156" s="1" t="s">
        <v>401</v>
      </c>
    </row>
    <row r="157" spans="1:5" x14ac:dyDescent="0.25">
      <c r="A157">
        <v>14</v>
      </c>
      <c r="B157">
        <v>7</v>
      </c>
      <c r="C157" t="str">
        <f>"S"&amp;TEXT(Table1[[#This Row],[Season]],"00")&amp;"E"&amp;TEXT(Table1[[#This Row],[Episode]],"00")</f>
        <v>S14E07</v>
      </c>
      <c r="D157" t="s">
        <v>266</v>
      </c>
      <c r="E157" s="1" t="s">
        <v>267</v>
      </c>
    </row>
    <row r="158" spans="1:5" x14ac:dyDescent="0.25">
      <c r="A158">
        <v>14</v>
      </c>
      <c r="B158">
        <v>8</v>
      </c>
      <c r="C158" t="str">
        <f>"S"&amp;TEXT(Table1[[#This Row],[Season]],"00")&amp;"E"&amp;TEXT(Table1[[#This Row],[Episode]],"00")</f>
        <v>S14E08</v>
      </c>
      <c r="D158" t="s">
        <v>268</v>
      </c>
      <c r="E158" s="1" t="s">
        <v>269</v>
      </c>
    </row>
    <row r="159" spans="1:5" x14ac:dyDescent="0.25">
      <c r="A159">
        <v>14</v>
      </c>
      <c r="B159">
        <v>9</v>
      </c>
      <c r="C159" t="str">
        <f>"S"&amp;TEXT(Table1[[#This Row],[Season]],"00")&amp;"E"&amp;TEXT(Table1[[#This Row],[Episode]],"00")</f>
        <v>S14E09</v>
      </c>
      <c r="D159" t="s">
        <v>270</v>
      </c>
      <c r="E159" s="1" t="s">
        <v>271</v>
      </c>
    </row>
    <row r="160" spans="1:5" x14ac:dyDescent="0.25">
      <c r="A160">
        <v>14</v>
      </c>
      <c r="B160">
        <v>10</v>
      </c>
      <c r="C160" t="str">
        <f>"S"&amp;TEXT(Table1[[#This Row],[Season]],"00")&amp;"E"&amp;TEXT(Table1[[#This Row],[Episode]],"00")</f>
        <v>S14E10</v>
      </c>
      <c r="D160" t="s">
        <v>272</v>
      </c>
      <c r="E160" s="1" t="s">
        <v>402</v>
      </c>
    </row>
    <row r="161" spans="1:5" x14ac:dyDescent="0.25">
      <c r="A161">
        <v>15</v>
      </c>
      <c r="B161">
        <v>1</v>
      </c>
      <c r="C161" t="str">
        <f>"S"&amp;TEXT(Table1[[#This Row],[Season]],"00")&amp;"E"&amp;TEXT(Table1[[#This Row],[Episode]],"00")</f>
        <v>S15E01</v>
      </c>
      <c r="D161" t="s">
        <v>274</v>
      </c>
      <c r="E161" s="1" t="s">
        <v>403</v>
      </c>
    </row>
    <row r="162" spans="1:5" x14ac:dyDescent="0.25">
      <c r="A162">
        <v>15</v>
      </c>
      <c r="B162">
        <v>2</v>
      </c>
      <c r="C162" t="str">
        <f>"S"&amp;TEXT(Table1[[#This Row],[Season]],"00")&amp;"E"&amp;TEXT(Table1[[#This Row],[Episode]],"00")</f>
        <v>S15E02</v>
      </c>
      <c r="D162" t="s">
        <v>275</v>
      </c>
      <c r="E162" s="1" t="s">
        <v>276</v>
      </c>
    </row>
    <row r="163" spans="1:5" x14ac:dyDescent="0.25">
      <c r="A163">
        <v>15</v>
      </c>
      <c r="B163">
        <v>3</v>
      </c>
      <c r="C163" t="str">
        <f>"S"&amp;TEXT(Table1[[#This Row],[Season]],"00")&amp;"E"&amp;TEXT(Table1[[#This Row],[Episode]],"00")</f>
        <v>S15E03</v>
      </c>
      <c r="D163" t="s">
        <v>277</v>
      </c>
      <c r="E163" s="1" t="s">
        <v>278</v>
      </c>
    </row>
    <row r="164" spans="1:5" x14ac:dyDescent="0.25">
      <c r="A164">
        <v>15</v>
      </c>
      <c r="B164">
        <v>4</v>
      </c>
      <c r="C164" t="str">
        <f>"S"&amp;TEXT(Table1[[#This Row],[Season]],"00")&amp;"E"&amp;TEXT(Table1[[#This Row],[Episode]],"00")</f>
        <v>S15E04</v>
      </c>
      <c r="D164" t="s">
        <v>279</v>
      </c>
      <c r="E164" s="1" t="s">
        <v>280</v>
      </c>
    </row>
    <row r="165" spans="1:5" x14ac:dyDescent="0.25">
      <c r="A165">
        <v>16</v>
      </c>
      <c r="B165">
        <v>1</v>
      </c>
      <c r="C165" t="str">
        <f>"S"&amp;TEXT(Table1[[#This Row],[Season]],"00")&amp;"E"&amp;TEXT(Table1[[#This Row],[Episode]],"00")</f>
        <v>S16E01</v>
      </c>
      <c r="D165" t="s">
        <v>282</v>
      </c>
      <c r="E165" s="1" t="s">
        <v>404</v>
      </c>
    </row>
    <row r="166" spans="1:5" x14ac:dyDescent="0.25">
      <c r="A166">
        <v>16</v>
      </c>
      <c r="B166">
        <v>2</v>
      </c>
      <c r="C166" t="str">
        <f>"S"&amp;TEXT(Table1[[#This Row],[Season]],"00")&amp;"E"&amp;TEXT(Table1[[#This Row],[Episode]],"00")</f>
        <v>S16E02</v>
      </c>
      <c r="D166" t="s">
        <v>283</v>
      </c>
      <c r="E166" s="1" t="s">
        <v>284</v>
      </c>
    </row>
    <row r="167" spans="1:5" x14ac:dyDescent="0.25">
      <c r="A167">
        <v>16</v>
      </c>
      <c r="B167">
        <v>3</v>
      </c>
      <c r="C167" t="str">
        <f>"S"&amp;TEXT(Table1[[#This Row],[Season]],"00")&amp;"E"&amp;TEXT(Table1[[#This Row],[Episode]],"00")</f>
        <v>S16E03</v>
      </c>
      <c r="D167" t="s">
        <v>285</v>
      </c>
      <c r="E167" s="1" t="s">
        <v>286</v>
      </c>
    </row>
    <row r="168" spans="1:5" x14ac:dyDescent="0.25">
      <c r="A168">
        <v>16</v>
      </c>
      <c r="B168">
        <v>4</v>
      </c>
      <c r="C168" t="str">
        <f>"S"&amp;TEXT(Table1[[#This Row],[Season]],"00")&amp;"E"&amp;TEXT(Table1[[#This Row],[Episode]],"00")</f>
        <v>S16E04</v>
      </c>
      <c r="D168" t="s">
        <v>287</v>
      </c>
      <c r="E168" s="1" t="s">
        <v>288</v>
      </c>
    </row>
    <row r="169" spans="1:5" x14ac:dyDescent="0.25">
      <c r="A169">
        <v>16</v>
      </c>
      <c r="B169">
        <v>5</v>
      </c>
      <c r="C169" t="str">
        <f>"S"&amp;TEXT(Table1[[#This Row],[Season]],"00")&amp;"E"&amp;TEXT(Table1[[#This Row],[Episode]],"00")</f>
        <v>S16E05</v>
      </c>
      <c r="D169" t="s">
        <v>289</v>
      </c>
      <c r="E169" s="1" t="s">
        <v>405</v>
      </c>
    </row>
    <row r="170" spans="1:5" x14ac:dyDescent="0.25">
      <c r="A170">
        <v>16</v>
      </c>
      <c r="B170">
        <v>6</v>
      </c>
      <c r="C170" t="str">
        <f>"S"&amp;TEXT(Table1[[#This Row],[Season]],"00")&amp;"E"&amp;TEXT(Table1[[#This Row],[Episode]],"00")</f>
        <v>S16E06</v>
      </c>
      <c r="D170" t="s">
        <v>290</v>
      </c>
      <c r="E170" s="1" t="s">
        <v>291</v>
      </c>
    </row>
    <row r="171" spans="1:5" x14ac:dyDescent="0.25">
      <c r="A171">
        <v>16</v>
      </c>
      <c r="B171">
        <v>7</v>
      </c>
      <c r="C171" t="str">
        <f>"S"&amp;TEXT(Table1[[#This Row],[Season]],"00")&amp;"E"&amp;TEXT(Table1[[#This Row],[Episode]],"00")</f>
        <v>S16E07</v>
      </c>
      <c r="D171" t="s">
        <v>292</v>
      </c>
      <c r="E171" s="1" t="s">
        <v>293</v>
      </c>
    </row>
    <row r="172" spans="1:5" x14ac:dyDescent="0.25">
      <c r="A172">
        <v>16</v>
      </c>
      <c r="B172">
        <v>8</v>
      </c>
      <c r="C172" t="str">
        <f>"S"&amp;TEXT(Table1[[#This Row],[Season]],"00")&amp;"E"&amp;TEXT(Table1[[#This Row],[Episode]],"00")</f>
        <v>S16E08</v>
      </c>
      <c r="D172" t="s">
        <v>294</v>
      </c>
      <c r="E172" s="1" t="s">
        <v>295</v>
      </c>
    </row>
    <row r="173" spans="1:5" x14ac:dyDescent="0.25">
      <c r="A173">
        <v>16</v>
      </c>
      <c r="B173">
        <v>9</v>
      </c>
      <c r="C173" t="str">
        <f>"S"&amp;TEXT(Table1[[#This Row],[Season]],"00")&amp;"E"&amp;TEXT(Table1[[#This Row],[Episode]],"00")</f>
        <v>S16E09</v>
      </c>
      <c r="D173" t="s">
        <v>296</v>
      </c>
      <c r="E173" s="1" t="s">
        <v>297</v>
      </c>
    </row>
    <row r="174" spans="1:5" x14ac:dyDescent="0.25">
      <c r="A174">
        <v>17</v>
      </c>
      <c r="B174">
        <v>1</v>
      </c>
      <c r="C174" t="str">
        <f>"S"&amp;TEXT(Table1[[#This Row],[Season]],"00")&amp;"E"&amp;TEXT(Table1[[#This Row],[Episode]],"00")</f>
        <v>S17E01</v>
      </c>
      <c r="D174" t="s">
        <v>299</v>
      </c>
      <c r="E174" s="1" t="s">
        <v>300</v>
      </c>
    </row>
    <row r="175" spans="1:5" x14ac:dyDescent="0.25">
      <c r="A175">
        <v>17</v>
      </c>
      <c r="B175">
        <v>2</v>
      </c>
      <c r="C175" t="str">
        <f>"S"&amp;TEXT(Table1[[#This Row],[Season]],"00")&amp;"E"&amp;TEXT(Table1[[#This Row],[Episode]],"00")</f>
        <v>S17E02</v>
      </c>
      <c r="D175" t="s">
        <v>301</v>
      </c>
      <c r="E175" s="1" t="s">
        <v>302</v>
      </c>
    </row>
    <row r="176" spans="1:5" x14ac:dyDescent="0.25">
      <c r="A176">
        <v>17</v>
      </c>
      <c r="B176">
        <v>3</v>
      </c>
      <c r="C176" t="str">
        <f>"S"&amp;TEXT(Table1[[#This Row],[Season]],"00")&amp;"E"&amp;TEXT(Table1[[#This Row],[Episode]],"00")</f>
        <v>S17E03</v>
      </c>
      <c r="D176" t="s">
        <v>303</v>
      </c>
      <c r="E176" s="1" t="s">
        <v>406</v>
      </c>
    </row>
    <row r="177" spans="1:5" x14ac:dyDescent="0.25">
      <c r="A177">
        <v>17</v>
      </c>
      <c r="B177">
        <v>4</v>
      </c>
      <c r="C177" t="str">
        <f>"S"&amp;TEXT(Table1[[#This Row],[Season]],"00")&amp;"E"&amp;TEXT(Table1[[#This Row],[Episode]],"00")</f>
        <v>S17E04</v>
      </c>
      <c r="D177" t="s">
        <v>304</v>
      </c>
      <c r="E177" s="1" t="s">
        <v>407</v>
      </c>
    </row>
    <row r="178" spans="1:5" x14ac:dyDescent="0.25">
      <c r="A178">
        <v>17</v>
      </c>
      <c r="B178">
        <v>5</v>
      </c>
      <c r="C178" t="str">
        <f>"S"&amp;TEXT(Table1[[#This Row],[Season]],"00")&amp;"E"&amp;TEXT(Table1[[#This Row],[Episode]],"00")</f>
        <v>S17E05</v>
      </c>
      <c r="D178" t="s">
        <v>305</v>
      </c>
      <c r="E178" s="1" t="s">
        <v>306</v>
      </c>
    </row>
    <row r="179" spans="1:5" x14ac:dyDescent="0.25">
      <c r="A179">
        <v>17</v>
      </c>
      <c r="B179">
        <v>6</v>
      </c>
      <c r="C179" t="str">
        <f>"S"&amp;TEXT(Table1[[#This Row],[Season]],"00")&amp;"E"&amp;TEXT(Table1[[#This Row],[Episode]],"00")</f>
        <v>S17E06</v>
      </c>
      <c r="D179" t="s">
        <v>307</v>
      </c>
      <c r="E179" s="1" t="s">
        <v>308</v>
      </c>
    </row>
    <row r="180" spans="1:5" x14ac:dyDescent="0.25">
      <c r="A180">
        <v>17</v>
      </c>
      <c r="B180">
        <v>7</v>
      </c>
      <c r="C180" t="str">
        <f>"S"&amp;TEXT(Table1[[#This Row],[Season]],"00")&amp;"E"&amp;TEXT(Table1[[#This Row],[Episode]],"00")</f>
        <v>S17E07</v>
      </c>
      <c r="D180" t="s">
        <v>309</v>
      </c>
      <c r="E180" s="1" t="s">
        <v>408</v>
      </c>
    </row>
    <row r="181" spans="1:5" x14ac:dyDescent="0.25">
      <c r="A181">
        <v>17</v>
      </c>
      <c r="B181">
        <v>8</v>
      </c>
      <c r="C181" t="str">
        <f>"S"&amp;TEXT(Table1[[#This Row],[Season]],"00")&amp;"E"&amp;TEXT(Table1[[#This Row],[Episode]],"00")</f>
        <v>S17E08</v>
      </c>
      <c r="D181" t="s">
        <v>310</v>
      </c>
      <c r="E181" s="1" t="s">
        <v>311</v>
      </c>
    </row>
    <row r="182" spans="1:5" x14ac:dyDescent="0.25">
      <c r="A182">
        <v>17</v>
      </c>
      <c r="B182">
        <v>9</v>
      </c>
      <c r="C182" t="str">
        <f>"S"&amp;TEXT(Table1[[#This Row],[Season]],"00")&amp;"E"&amp;TEXT(Table1[[#This Row],[Episode]],"00")</f>
        <v>S17E09</v>
      </c>
      <c r="D182" t="s">
        <v>312</v>
      </c>
      <c r="E182" s="1" t="s">
        <v>313</v>
      </c>
    </row>
    <row r="183" spans="1:5" x14ac:dyDescent="0.25">
      <c r="A183">
        <v>18</v>
      </c>
      <c r="B183">
        <v>1</v>
      </c>
      <c r="C183" t="str">
        <f>"S"&amp;TEXT(Table1[[#This Row],[Season]],"00")&amp;"E"&amp;TEXT(Table1[[#This Row],[Episode]],"00")</f>
        <v>S18E01</v>
      </c>
      <c r="D183" t="s">
        <v>315</v>
      </c>
      <c r="E183" s="1" t="s">
        <v>409</v>
      </c>
    </row>
    <row r="184" spans="1:5" x14ac:dyDescent="0.25">
      <c r="A184">
        <v>18</v>
      </c>
      <c r="B184">
        <v>2</v>
      </c>
      <c r="C184" t="str">
        <f>"S"&amp;TEXT(Table1[[#This Row],[Season]],"00")&amp;"E"&amp;TEXT(Table1[[#This Row],[Episode]],"00")</f>
        <v>S18E02</v>
      </c>
      <c r="D184" t="s">
        <v>316</v>
      </c>
      <c r="E184" s="1" t="s">
        <v>317</v>
      </c>
    </row>
    <row r="185" spans="1:5" x14ac:dyDescent="0.25">
      <c r="A185">
        <v>18</v>
      </c>
      <c r="B185">
        <v>3</v>
      </c>
      <c r="C185" t="str">
        <f>"S"&amp;TEXT(Table1[[#This Row],[Season]],"00")&amp;"E"&amp;TEXT(Table1[[#This Row],[Episode]],"00")</f>
        <v>S18E03</v>
      </c>
      <c r="D185" t="s">
        <v>318</v>
      </c>
      <c r="E185" s="1" t="s">
        <v>319</v>
      </c>
    </row>
    <row r="186" spans="1:5" x14ac:dyDescent="0.25">
      <c r="A186">
        <v>18</v>
      </c>
      <c r="B186">
        <v>4</v>
      </c>
      <c r="C186" t="str">
        <f>"S"&amp;TEXT(Table1[[#This Row],[Season]],"00")&amp;"E"&amp;TEXT(Table1[[#This Row],[Episode]],"00")</f>
        <v>S18E04</v>
      </c>
      <c r="D186" t="s">
        <v>320</v>
      </c>
      <c r="E186" s="1" t="s">
        <v>321</v>
      </c>
    </row>
    <row r="187" spans="1:5" x14ac:dyDescent="0.25">
      <c r="A187">
        <v>18</v>
      </c>
      <c r="B187">
        <v>5</v>
      </c>
      <c r="C187" t="str">
        <f>"S"&amp;TEXT(Table1[[#This Row],[Season]],"00")&amp;"E"&amp;TEXT(Table1[[#This Row],[Episode]],"00")</f>
        <v>S18E05</v>
      </c>
      <c r="D187" t="s">
        <v>322</v>
      </c>
      <c r="E187" s="1" t="s">
        <v>410</v>
      </c>
    </row>
    <row r="188" spans="1:5" x14ac:dyDescent="0.25">
      <c r="A188">
        <v>18</v>
      </c>
      <c r="B188">
        <v>6</v>
      </c>
      <c r="C188" t="str">
        <f>"S"&amp;TEXT(Table1[[#This Row],[Season]],"00")&amp;"E"&amp;TEXT(Table1[[#This Row],[Episode]],"00")</f>
        <v>S18E06</v>
      </c>
      <c r="D188" t="s">
        <v>323</v>
      </c>
      <c r="E188" s="1" t="s">
        <v>411</v>
      </c>
    </row>
    <row r="189" spans="1:5" x14ac:dyDescent="0.25">
      <c r="A189">
        <v>18</v>
      </c>
      <c r="B189">
        <v>7</v>
      </c>
      <c r="C189" t="str">
        <f>"S"&amp;TEXT(Table1[[#This Row],[Season]],"00")&amp;"E"&amp;TEXT(Table1[[#This Row],[Episode]],"00")</f>
        <v>S18E07</v>
      </c>
      <c r="D189" t="s">
        <v>324</v>
      </c>
      <c r="E189" s="1" t="s">
        <v>325</v>
      </c>
    </row>
    <row r="190" spans="1:5" x14ac:dyDescent="0.25">
      <c r="A190">
        <v>18</v>
      </c>
      <c r="B190">
        <v>8</v>
      </c>
      <c r="C190" t="str">
        <f>"S"&amp;TEXT(Table1[[#This Row],[Season]],"00")&amp;"E"&amp;TEXT(Table1[[#This Row],[Episode]],"00")</f>
        <v>S18E08</v>
      </c>
      <c r="D190" t="s">
        <v>326</v>
      </c>
      <c r="E190" s="1" t="s">
        <v>327</v>
      </c>
    </row>
    <row r="191" spans="1:5" x14ac:dyDescent="0.25">
      <c r="A191">
        <v>18</v>
      </c>
      <c r="B191">
        <v>9</v>
      </c>
      <c r="C191" t="str">
        <f>"S"&amp;TEXT(Table1[[#This Row],[Season]],"00")&amp;"E"&amp;TEXT(Table1[[#This Row],[Episode]],"00")</f>
        <v>S18E09</v>
      </c>
      <c r="D191" t="s">
        <v>328</v>
      </c>
      <c r="E191" s="1" t="s">
        <v>412</v>
      </c>
    </row>
    <row r="192" spans="1:5" x14ac:dyDescent="0.25">
      <c r="A192">
        <v>19</v>
      </c>
      <c r="B192">
        <v>1</v>
      </c>
      <c r="C192" t="str">
        <f>"S"&amp;TEXT(Table1[[#This Row],[Season]],"00")&amp;"E"&amp;TEXT(Table1[[#This Row],[Episode]],"00")</f>
        <v>S19E01</v>
      </c>
      <c r="D192" t="s">
        <v>330</v>
      </c>
      <c r="E192" s="1" t="s">
        <v>331</v>
      </c>
    </row>
    <row r="193" spans="1:5" x14ac:dyDescent="0.25">
      <c r="A193">
        <v>19</v>
      </c>
      <c r="B193">
        <v>2</v>
      </c>
      <c r="C193" t="str">
        <f>"S"&amp;TEXT(Table1[[#This Row],[Season]],"00")&amp;"E"&amp;TEXT(Table1[[#This Row],[Episode]],"00")</f>
        <v>S19E02</v>
      </c>
      <c r="D193" t="s">
        <v>332</v>
      </c>
      <c r="E193" s="1" t="s">
        <v>333</v>
      </c>
    </row>
    <row r="194" spans="1:5" x14ac:dyDescent="0.25">
      <c r="A194">
        <v>19</v>
      </c>
      <c r="B194">
        <v>3</v>
      </c>
      <c r="C194" t="str">
        <f>"S"&amp;TEXT(Table1[[#This Row],[Season]],"00")&amp;"E"&amp;TEXT(Table1[[#This Row],[Episode]],"00")</f>
        <v>S19E03</v>
      </c>
      <c r="D194" t="s">
        <v>334</v>
      </c>
      <c r="E194" s="1" t="s">
        <v>413</v>
      </c>
    </row>
    <row r="195" spans="1:5" x14ac:dyDescent="0.25">
      <c r="A195">
        <v>19</v>
      </c>
      <c r="B195">
        <v>4</v>
      </c>
      <c r="C195" t="str">
        <f>"S"&amp;TEXT(Table1[[#This Row],[Season]],"00")&amp;"E"&amp;TEXT(Table1[[#This Row],[Episode]],"00")</f>
        <v>S19E04</v>
      </c>
      <c r="D195" t="s">
        <v>335</v>
      </c>
      <c r="E195" s="1" t="s">
        <v>414</v>
      </c>
    </row>
    <row r="196" spans="1:5" x14ac:dyDescent="0.25">
      <c r="A196">
        <v>19</v>
      </c>
      <c r="B196">
        <v>5</v>
      </c>
      <c r="C196" t="str">
        <f>"S"&amp;TEXT(Table1[[#This Row],[Season]],"00")&amp;"E"&amp;TEXT(Table1[[#This Row],[Episode]],"00")</f>
        <v>S19E05</v>
      </c>
      <c r="D196" t="s">
        <v>336</v>
      </c>
      <c r="E196" s="1" t="s">
        <v>337</v>
      </c>
    </row>
    <row r="197" spans="1:5" x14ac:dyDescent="0.25">
      <c r="A197">
        <v>19</v>
      </c>
      <c r="B197">
        <v>6</v>
      </c>
      <c r="C197" t="str">
        <f>"S"&amp;TEXT(Table1[[#This Row],[Season]],"00")&amp;"E"&amp;TEXT(Table1[[#This Row],[Episode]],"00")</f>
        <v>S19E06</v>
      </c>
      <c r="D197" t="s">
        <v>338</v>
      </c>
      <c r="E197" s="1" t="s">
        <v>339</v>
      </c>
    </row>
    <row r="198" spans="1:5" x14ac:dyDescent="0.25">
      <c r="A198">
        <v>19</v>
      </c>
      <c r="B198">
        <v>7</v>
      </c>
      <c r="C198" t="str">
        <f>"S"&amp;TEXT(Table1[[#This Row],[Season]],"00")&amp;"E"&amp;TEXT(Table1[[#This Row],[Episode]],"00")</f>
        <v>S19E07</v>
      </c>
      <c r="D198" t="s">
        <v>340</v>
      </c>
      <c r="E198" s="1" t="s">
        <v>341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28B8-21CA-4291-80D5-6A6033DC7EED}">
  <dimension ref="A1:F630"/>
  <sheetViews>
    <sheetView workbookViewId="0">
      <selection activeCell="C14" sqref="A2:F630"/>
    </sheetView>
  </sheetViews>
  <sheetFormatPr defaultRowHeight="15" x14ac:dyDescent="0.25"/>
  <cols>
    <col min="1" max="1" width="11.7109375" customWidth="1"/>
    <col min="2" max="2" width="12.140625" bestFit="1" customWidth="1"/>
    <col min="3" max="3" width="104.5703125" bestFit="1" customWidth="1"/>
    <col min="4" max="5" width="10.85546875" customWidth="1"/>
  </cols>
  <sheetData>
    <row r="1" spans="1:6" x14ac:dyDescent="0.25">
      <c r="A1" t="s">
        <v>817</v>
      </c>
      <c r="B1" t="s">
        <v>415</v>
      </c>
      <c r="C1" t="s">
        <v>416</v>
      </c>
      <c r="D1" t="s">
        <v>417</v>
      </c>
      <c r="E1" t="s">
        <v>418</v>
      </c>
      <c r="F1" t="s">
        <v>419</v>
      </c>
    </row>
    <row r="2" spans="1:6" x14ac:dyDescent="0.25">
      <c r="A2" t="s">
        <v>329</v>
      </c>
      <c r="B2">
        <v>7</v>
      </c>
      <c r="C2" t="s">
        <v>420</v>
      </c>
      <c r="D2" t="s">
        <v>421</v>
      </c>
    </row>
    <row r="3" spans="1:6" hidden="1" x14ac:dyDescent="0.25">
      <c r="A3" t="s">
        <v>329</v>
      </c>
      <c r="B3" t="s">
        <v>422</v>
      </c>
    </row>
    <row r="4" spans="1:6" hidden="1" x14ac:dyDescent="0.25">
      <c r="A4" t="s">
        <v>329</v>
      </c>
    </row>
    <row r="5" spans="1:6" x14ac:dyDescent="0.25">
      <c r="A5" t="s">
        <v>329</v>
      </c>
      <c r="B5">
        <v>6</v>
      </c>
      <c r="C5" t="s">
        <v>423</v>
      </c>
      <c r="D5" t="s">
        <v>424</v>
      </c>
    </row>
    <row r="6" spans="1:6" hidden="1" x14ac:dyDescent="0.25">
      <c r="A6" t="s">
        <v>329</v>
      </c>
      <c r="B6" t="s">
        <v>422</v>
      </c>
    </row>
    <row r="7" spans="1:6" hidden="1" x14ac:dyDescent="0.25">
      <c r="A7" t="s">
        <v>329</v>
      </c>
    </row>
    <row r="8" spans="1:6" x14ac:dyDescent="0.25">
      <c r="A8" t="s">
        <v>329</v>
      </c>
      <c r="B8">
        <v>5</v>
      </c>
      <c r="C8" t="s">
        <v>425</v>
      </c>
      <c r="D8" t="s">
        <v>426</v>
      </c>
    </row>
    <row r="9" spans="1:6" hidden="1" x14ac:dyDescent="0.25">
      <c r="A9" t="s">
        <v>329</v>
      </c>
      <c r="B9" t="s">
        <v>422</v>
      </c>
    </row>
    <row r="10" spans="1:6" hidden="1" x14ac:dyDescent="0.25">
      <c r="A10" t="s">
        <v>329</v>
      </c>
    </row>
    <row r="11" spans="1:6" x14ac:dyDescent="0.25">
      <c r="A11" t="s">
        <v>329</v>
      </c>
      <c r="B11">
        <v>4</v>
      </c>
      <c r="C11" t="s">
        <v>427</v>
      </c>
      <c r="D11" t="s">
        <v>428</v>
      </c>
    </row>
    <row r="12" spans="1:6" hidden="1" x14ac:dyDescent="0.25">
      <c r="A12" t="s">
        <v>329</v>
      </c>
      <c r="B12" t="s">
        <v>422</v>
      </c>
    </row>
    <row r="13" spans="1:6" hidden="1" x14ac:dyDescent="0.25">
      <c r="A13" t="s">
        <v>329</v>
      </c>
    </row>
    <row r="14" spans="1:6" x14ac:dyDescent="0.25">
      <c r="A14" t="s">
        <v>329</v>
      </c>
      <c r="B14">
        <v>3</v>
      </c>
      <c r="C14" t="s">
        <v>429</v>
      </c>
      <c r="D14" t="s">
        <v>430</v>
      </c>
    </row>
    <row r="15" spans="1:6" hidden="1" x14ac:dyDescent="0.25">
      <c r="A15" t="s">
        <v>329</v>
      </c>
      <c r="B15" t="s">
        <v>422</v>
      </c>
    </row>
    <row r="16" spans="1:6" hidden="1" x14ac:dyDescent="0.25">
      <c r="A16" t="s">
        <v>329</v>
      </c>
    </row>
    <row r="17" spans="1:6" x14ac:dyDescent="0.25">
      <c r="A17" t="s">
        <v>329</v>
      </c>
      <c r="B17">
        <v>2</v>
      </c>
      <c r="C17" t="s">
        <v>431</v>
      </c>
      <c r="D17" t="s">
        <v>432</v>
      </c>
    </row>
    <row r="18" spans="1:6" hidden="1" x14ac:dyDescent="0.25">
      <c r="A18" t="s">
        <v>329</v>
      </c>
      <c r="B18" t="s">
        <v>422</v>
      </c>
    </row>
    <row r="19" spans="1:6" hidden="1" x14ac:dyDescent="0.25">
      <c r="A19" t="s">
        <v>329</v>
      </c>
    </row>
    <row r="20" spans="1:6" x14ac:dyDescent="0.25">
      <c r="A20" t="s">
        <v>329</v>
      </c>
      <c r="B20">
        <v>1</v>
      </c>
      <c r="C20" t="s">
        <v>433</v>
      </c>
      <c r="D20" t="s">
        <v>434</v>
      </c>
    </row>
    <row r="21" spans="1:6" hidden="1" x14ac:dyDescent="0.25">
      <c r="A21" t="s">
        <v>329</v>
      </c>
      <c r="B21" t="s">
        <v>422</v>
      </c>
    </row>
    <row r="22" spans="1:6" hidden="1" x14ac:dyDescent="0.25">
      <c r="A22" t="s">
        <v>329</v>
      </c>
    </row>
    <row r="23" spans="1:6" hidden="1" x14ac:dyDescent="0.25">
      <c r="B23" t="s">
        <v>314</v>
      </c>
    </row>
    <row r="24" spans="1:6" hidden="1" x14ac:dyDescent="0.25">
      <c r="B24" t="s">
        <v>415</v>
      </c>
      <c r="C24" t="s">
        <v>416</v>
      </c>
      <c r="D24" t="s">
        <v>417</v>
      </c>
      <c r="E24" t="s">
        <v>418</v>
      </c>
      <c r="F24" t="s">
        <v>419</v>
      </c>
    </row>
    <row r="25" spans="1:6" x14ac:dyDescent="0.25">
      <c r="A25" t="s">
        <v>314</v>
      </c>
      <c r="B25">
        <v>9</v>
      </c>
      <c r="C25" t="s">
        <v>435</v>
      </c>
      <c r="D25" t="s">
        <v>436</v>
      </c>
    </row>
    <row r="26" spans="1:6" hidden="1" x14ac:dyDescent="0.25">
      <c r="A26" t="s">
        <v>314</v>
      </c>
      <c r="B26" t="s">
        <v>422</v>
      </c>
    </row>
    <row r="27" spans="1:6" hidden="1" x14ac:dyDescent="0.25">
      <c r="A27" t="s">
        <v>314</v>
      </c>
    </row>
    <row r="28" spans="1:6" x14ac:dyDescent="0.25">
      <c r="A28" t="s">
        <v>314</v>
      </c>
      <c r="B28">
        <v>8</v>
      </c>
      <c r="C28" t="s">
        <v>437</v>
      </c>
      <c r="D28" t="s">
        <v>438</v>
      </c>
    </row>
    <row r="29" spans="1:6" hidden="1" x14ac:dyDescent="0.25">
      <c r="A29" t="s">
        <v>314</v>
      </c>
      <c r="B29" t="s">
        <v>422</v>
      </c>
    </row>
    <row r="30" spans="1:6" hidden="1" x14ac:dyDescent="0.25">
      <c r="A30" t="s">
        <v>314</v>
      </c>
    </row>
    <row r="31" spans="1:6" x14ac:dyDescent="0.25">
      <c r="A31" t="s">
        <v>314</v>
      </c>
      <c r="B31">
        <v>7</v>
      </c>
      <c r="C31" t="s">
        <v>439</v>
      </c>
      <c r="D31" t="s">
        <v>440</v>
      </c>
    </row>
    <row r="32" spans="1:6" hidden="1" x14ac:dyDescent="0.25">
      <c r="A32" t="s">
        <v>314</v>
      </c>
      <c r="B32" t="s">
        <v>422</v>
      </c>
    </row>
    <row r="33" spans="1:4" hidden="1" x14ac:dyDescent="0.25">
      <c r="A33" t="s">
        <v>314</v>
      </c>
    </row>
    <row r="34" spans="1:4" x14ac:dyDescent="0.25">
      <c r="A34" t="s">
        <v>314</v>
      </c>
      <c r="B34">
        <v>6</v>
      </c>
      <c r="C34" t="s">
        <v>441</v>
      </c>
      <c r="D34" t="s">
        <v>442</v>
      </c>
    </row>
    <row r="35" spans="1:4" hidden="1" x14ac:dyDescent="0.25">
      <c r="A35" t="s">
        <v>314</v>
      </c>
      <c r="B35" t="s">
        <v>422</v>
      </c>
    </row>
    <row r="36" spans="1:4" hidden="1" x14ac:dyDescent="0.25">
      <c r="A36" t="s">
        <v>314</v>
      </c>
    </row>
    <row r="37" spans="1:4" x14ac:dyDescent="0.25">
      <c r="A37" t="s">
        <v>314</v>
      </c>
      <c r="B37">
        <v>5</v>
      </c>
      <c r="C37" t="s">
        <v>443</v>
      </c>
      <c r="D37" t="s">
        <v>444</v>
      </c>
    </row>
    <row r="38" spans="1:4" hidden="1" x14ac:dyDescent="0.25">
      <c r="A38" t="s">
        <v>314</v>
      </c>
      <c r="B38" t="s">
        <v>422</v>
      </c>
    </row>
    <row r="39" spans="1:4" hidden="1" x14ac:dyDescent="0.25">
      <c r="A39" t="s">
        <v>314</v>
      </c>
    </row>
    <row r="40" spans="1:4" x14ac:dyDescent="0.25">
      <c r="A40" t="s">
        <v>314</v>
      </c>
      <c r="B40">
        <v>4</v>
      </c>
      <c r="C40" t="s">
        <v>445</v>
      </c>
      <c r="D40" t="s">
        <v>446</v>
      </c>
    </row>
    <row r="41" spans="1:4" hidden="1" x14ac:dyDescent="0.25">
      <c r="A41" t="s">
        <v>314</v>
      </c>
      <c r="B41" t="s">
        <v>422</v>
      </c>
    </row>
    <row r="42" spans="1:4" hidden="1" x14ac:dyDescent="0.25">
      <c r="A42" t="s">
        <v>314</v>
      </c>
    </row>
    <row r="43" spans="1:4" x14ac:dyDescent="0.25">
      <c r="A43" t="s">
        <v>314</v>
      </c>
      <c r="B43">
        <v>3</v>
      </c>
      <c r="C43" t="s">
        <v>447</v>
      </c>
      <c r="D43" t="s">
        <v>448</v>
      </c>
    </row>
    <row r="44" spans="1:4" hidden="1" x14ac:dyDescent="0.25">
      <c r="A44" t="s">
        <v>314</v>
      </c>
      <c r="B44" t="s">
        <v>422</v>
      </c>
    </row>
    <row r="45" spans="1:4" hidden="1" x14ac:dyDescent="0.25">
      <c r="A45" t="s">
        <v>314</v>
      </c>
    </row>
    <row r="46" spans="1:4" x14ac:dyDescent="0.25">
      <c r="A46" t="s">
        <v>314</v>
      </c>
      <c r="B46">
        <v>2</v>
      </c>
      <c r="C46" t="s">
        <v>449</v>
      </c>
      <c r="D46" t="s">
        <v>450</v>
      </c>
    </row>
    <row r="47" spans="1:4" hidden="1" x14ac:dyDescent="0.25">
      <c r="A47" t="s">
        <v>314</v>
      </c>
      <c r="B47" t="s">
        <v>422</v>
      </c>
    </row>
    <row r="48" spans="1:4" hidden="1" x14ac:dyDescent="0.25">
      <c r="A48" t="s">
        <v>314</v>
      </c>
    </row>
    <row r="49" spans="1:6" x14ac:dyDescent="0.25">
      <c r="A49" t="s">
        <v>314</v>
      </c>
      <c r="B49">
        <v>1</v>
      </c>
      <c r="C49" t="s">
        <v>451</v>
      </c>
      <c r="D49" t="s">
        <v>452</v>
      </c>
    </row>
    <row r="50" spans="1:6" hidden="1" x14ac:dyDescent="0.25">
      <c r="B50" t="s">
        <v>422</v>
      </c>
    </row>
    <row r="51" spans="1:6" hidden="1" x14ac:dyDescent="0.25"/>
    <row r="52" spans="1:6" hidden="1" x14ac:dyDescent="0.25">
      <c r="B52" t="s">
        <v>298</v>
      </c>
    </row>
    <row r="53" spans="1:6" hidden="1" x14ac:dyDescent="0.25">
      <c r="B53" t="s">
        <v>415</v>
      </c>
      <c r="C53" t="s">
        <v>416</v>
      </c>
      <c r="D53" t="s">
        <v>417</v>
      </c>
      <c r="E53" t="s">
        <v>418</v>
      </c>
      <c r="F53" t="s">
        <v>419</v>
      </c>
    </row>
    <row r="54" spans="1:6" x14ac:dyDescent="0.25">
      <c r="A54" t="s">
        <v>298</v>
      </c>
      <c r="B54">
        <v>9</v>
      </c>
      <c r="C54" t="s">
        <v>453</v>
      </c>
      <c r="D54" t="s">
        <v>454</v>
      </c>
    </row>
    <row r="55" spans="1:6" hidden="1" x14ac:dyDescent="0.25">
      <c r="A55" t="s">
        <v>298</v>
      </c>
      <c r="B55" t="s">
        <v>422</v>
      </c>
    </row>
    <row r="56" spans="1:6" hidden="1" x14ac:dyDescent="0.25">
      <c r="A56" t="s">
        <v>298</v>
      </c>
    </row>
    <row r="57" spans="1:6" x14ac:dyDescent="0.25">
      <c r="A57" t="s">
        <v>298</v>
      </c>
      <c r="B57">
        <v>8</v>
      </c>
      <c r="C57" t="s">
        <v>455</v>
      </c>
      <c r="D57" t="s">
        <v>456</v>
      </c>
    </row>
    <row r="58" spans="1:6" hidden="1" x14ac:dyDescent="0.25">
      <c r="A58" t="s">
        <v>298</v>
      </c>
      <c r="B58" t="s">
        <v>422</v>
      </c>
    </row>
    <row r="59" spans="1:6" hidden="1" x14ac:dyDescent="0.25">
      <c r="A59" t="s">
        <v>298</v>
      </c>
    </row>
    <row r="60" spans="1:6" x14ac:dyDescent="0.25">
      <c r="A60" t="s">
        <v>298</v>
      </c>
      <c r="B60">
        <v>7</v>
      </c>
      <c r="C60" t="s">
        <v>457</v>
      </c>
      <c r="D60" t="s">
        <v>458</v>
      </c>
    </row>
    <row r="61" spans="1:6" hidden="1" x14ac:dyDescent="0.25">
      <c r="A61" t="s">
        <v>298</v>
      </c>
      <c r="B61" t="s">
        <v>422</v>
      </c>
    </row>
    <row r="62" spans="1:6" hidden="1" x14ac:dyDescent="0.25">
      <c r="A62" t="s">
        <v>298</v>
      </c>
    </row>
    <row r="63" spans="1:6" x14ac:dyDescent="0.25">
      <c r="A63" t="s">
        <v>298</v>
      </c>
      <c r="B63">
        <v>6</v>
      </c>
      <c r="C63" t="s">
        <v>459</v>
      </c>
      <c r="D63" t="s">
        <v>460</v>
      </c>
    </row>
    <row r="64" spans="1:6" hidden="1" x14ac:dyDescent="0.25">
      <c r="A64" t="s">
        <v>298</v>
      </c>
      <c r="B64" t="s">
        <v>422</v>
      </c>
    </row>
    <row r="65" spans="1:4" hidden="1" x14ac:dyDescent="0.25">
      <c r="A65" t="s">
        <v>298</v>
      </c>
    </row>
    <row r="66" spans="1:4" x14ac:dyDescent="0.25">
      <c r="A66" t="s">
        <v>298</v>
      </c>
      <c r="B66">
        <v>5</v>
      </c>
      <c r="C66" t="s">
        <v>461</v>
      </c>
      <c r="D66" t="s">
        <v>462</v>
      </c>
    </row>
    <row r="67" spans="1:4" hidden="1" x14ac:dyDescent="0.25">
      <c r="A67" t="s">
        <v>298</v>
      </c>
      <c r="B67" t="s">
        <v>422</v>
      </c>
    </row>
    <row r="68" spans="1:4" hidden="1" x14ac:dyDescent="0.25">
      <c r="A68" t="s">
        <v>298</v>
      </c>
    </row>
    <row r="69" spans="1:4" x14ac:dyDescent="0.25">
      <c r="A69" t="s">
        <v>298</v>
      </c>
      <c r="B69">
        <v>4</v>
      </c>
      <c r="C69" t="s">
        <v>463</v>
      </c>
      <c r="D69" t="s">
        <v>464</v>
      </c>
    </row>
    <row r="70" spans="1:4" hidden="1" x14ac:dyDescent="0.25">
      <c r="A70" t="s">
        <v>298</v>
      </c>
      <c r="B70" t="s">
        <v>422</v>
      </c>
    </row>
    <row r="71" spans="1:4" hidden="1" x14ac:dyDescent="0.25">
      <c r="A71" t="s">
        <v>298</v>
      </c>
    </row>
    <row r="72" spans="1:4" x14ac:dyDescent="0.25">
      <c r="A72" t="s">
        <v>298</v>
      </c>
      <c r="B72">
        <v>3</v>
      </c>
      <c r="C72" t="s">
        <v>465</v>
      </c>
      <c r="D72" t="s">
        <v>466</v>
      </c>
    </row>
    <row r="73" spans="1:4" hidden="1" x14ac:dyDescent="0.25">
      <c r="A73" t="s">
        <v>298</v>
      </c>
      <c r="B73" t="s">
        <v>422</v>
      </c>
    </row>
    <row r="74" spans="1:4" hidden="1" x14ac:dyDescent="0.25">
      <c r="A74" t="s">
        <v>298</v>
      </c>
    </row>
    <row r="75" spans="1:4" x14ac:dyDescent="0.25">
      <c r="A75" t="s">
        <v>298</v>
      </c>
      <c r="B75">
        <v>2</v>
      </c>
      <c r="C75" t="s">
        <v>467</v>
      </c>
      <c r="D75" t="s">
        <v>468</v>
      </c>
    </row>
    <row r="76" spans="1:4" hidden="1" x14ac:dyDescent="0.25">
      <c r="A76" t="s">
        <v>298</v>
      </c>
      <c r="B76" t="s">
        <v>422</v>
      </c>
    </row>
    <row r="77" spans="1:4" hidden="1" x14ac:dyDescent="0.25">
      <c r="A77" t="s">
        <v>298</v>
      </c>
    </row>
    <row r="78" spans="1:4" x14ac:dyDescent="0.25">
      <c r="A78" t="s">
        <v>298</v>
      </c>
      <c r="B78">
        <v>1</v>
      </c>
      <c r="C78" t="s">
        <v>469</v>
      </c>
      <c r="D78" t="s">
        <v>470</v>
      </c>
    </row>
    <row r="79" spans="1:4" hidden="1" x14ac:dyDescent="0.25">
      <c r="B79" t="s">
        <v>422</v>
      </c>
    </row>
    <row r="80" spans="1:4" hidden="1" x14ac:dyDescent="0.25"/>
    <row r="81" spans="1:6" hidden="1" x14ac:dyDescent="0.25">
      <c r="B81" t="s">
        <v>281</v>
      </c>
    </row>
    <row r="82" spans="1:6" hidden="1" x14ac:dyDescent="0.25">
      <c r="B82" t="s">
        <v>415</v>
      </c>
      <c r="C82" t="s">
        <v>416</v>
      </c>
      <c r="D82" t="s">
        <v>417</v>
      </c>
      <c r="E82" t="s">
        <v>418</v>
      </c>
      <c r="F82" t="s">
        <v>419</v>
      </c>
    </row>
    <row r="83" spans="1:6" x14ac:dyDescent="0.25">
      <c r="A83" t="s">
        <v>281</v>
      </c>
      <c r="B83">
        <v>9</v>
      </c>
      <c r="C83" t="s">
        <v>471</v>
      </c>
      <c r="D83" t="s">
        <v>472</v>
      </c>
    </row>
    <row r="84" spans="1:6" hidden="1" x14ac:dyDescent="0.25">
      <c r="A84" t="s">
        <v>281</v>
      </c>
      <c r="B84" t="s">
        <v>422</v>
      </c>
    </row>
    <row r="85" spans="1:6" hidden="1" x14ac:dyDescent="0.25">
      <c r="A85" t="s">
        <v>281</v>
      </c>
    </row>
    <row r="86" spans="1:6" x14ac:dyDescent="0.25">
      <c r="A86" t="s">
        <v>281</v>
      </c>
      <c r="B86">
        <v>8</v>
      </c>
      <c r="C86" t="s">
        <v>473</v>
      </c>
      <c r="D86" t="s">
        <v>474</v>
      </c>
    </row>
    <row r="87" spans="1:6" hidden="1" x14ac:dyDescent="0.25">
      <c r="A87" t="s">
        <v>281</v>
      </c>
      <c r="B87" t="s">
        <v>422</v>
      </c>
    </row>
    <row r="88" spans="1:6" hidden="1" x14ac:dyDescent="0.25">
      <c r="A88" t="s">
        <v>281</v>
      </c>
    </row>
    <row r="89" spans="1:6" x14ac:dyDescent="0.25">
      <c r="A89" t="s">
        <v>281</v>
      </c>
      <c r="B89">
        <v>7</v>
      </c>
      <c r="C89" t="s">
        <v>475</v>
      </c>
      <c r="D89" t="s">
        <v>476</v>
      </c>
    </row>
    <row r="90" spans="1:6" hidden="1" x14ac:dyDescent="0.25">
      <c r="A90" t="s">
        <v>281</v>
      </c>
      <c r="B90" t="s">
        <v>422</v>
      </c>
    </row>
    <row r="91" spans="1:6" hidden="1" x14ac:dyDescent="0.25">
      <c r="A91" t="s">
        <v>281</v>
      </c>
    </row>
    <row r="92" spans="1:6" x14ac:dyDescent="0.25">
      <c r="A92" t="s">
        <v>281</v>
      </c>
      <c r="B92">
        <v>6</v>
      </c>
      <c r="C92" t="s">
        <v>477</v>
      </c>
      <c r="D92" t="s">
        <v>478</v>
      </c>
    </row>
    <row r="93" spans="1:6" hidden="1" x14ac:dyDescent="0.25">
      <c r="A93" t="s">
        <v>281</v>
      </c>
      <c r="B93" t="s">
        <v>422</v>
      </c>
    </row>
    <row r="94" spans="1:6" hidden="1" x14ac:dyDescent="0.25">
      <c r="A94" t="s">
        <v>281</v>
      </c>
    </row>
    <row r="95" spans="1:6" x14ac:dyDescent="0.25">
      <c r="A95" t="s">
        <v>281</v>
      </c>
      <c r="B95">
        <v>5</v>
      </c>
      <c r="C95" t="s">
        <v>479</v>
      </c>
      <c r="D95" t="s">
        <v>480</v>
      </c>
    </row>
    <row r="96" spans="1:6" hidden="1" x14ac:dyDescent="0.25">
      <c r="A96" t="s">
        <v>281</v>
      </c>
      <c r="B96" t="s">
        <v>422</v>
      </c>
    </row>
    <row r="97" spans="1:6" hidden="1" x14ac:dyDescent="0.25">
      <c r="A97" t="s">
        <v>281</v>
      </c>
    </row>
    <row r="98" spans="1:6" x14ac:dyDescent="0.25">
      <c r="A98" t="s">
        <v>281</v>
      </c>
      <c r="B98">
        <v>4</v>
      </c>
      <c r="C98" t="s">
        <v>481</v>
      </c>
      <c r="D98" t="s">
        <v>482</v>
      </c>
    </row>
    <row r="99" spans="1:6" hidden="1" x14ac:dyDescent="0.25">
      <c r="A99" t="s">
        <v>281</v>
      </c>
      <c r="B99" t="s">
        <v>422</v>
      </c>
    </row>
    <row r="100" spans="1:6" hidden="1" x14ac:dyDescent="0.25">
      <c r="A100" t="s">
        <v>281</v>
      </c>
    </row>
    <row r="101" spans="1:6" x14ac:dyDescent="0.25">
      <c r="A101" t="s">
        <v>281</v>
      </c>
      <c r="B101">
        <v>3</v>
      </c>
      <c r="C101" t="s">
        <v>483</v>
      </c>
      <c r="D101" t="s">
        <v>484</v>
      </c>
    </row>
    <row r="102" spans="1:6" hidden="1" x14ac:dyDescent="0.25">
      <c r="A102" t="s">
        <v>281</v>
      </c>
      <c r="B102" t="s">
        <v>422</v>
      </c>
    </row>
    <row r="103" spans="1:6" hidden="1" x14ac:dyDescent="0.25">
      <c r="A103" t="s">
        <v>281</v>
      </c>
    </row>
    <row r="104" spans="1:6" x14ac:dyDescent="0.25">
      <c r="A104" t="s">
        <v>281</v>
      </c>
      <c r="B104">
        <v>2</v>
      </c>
      <c r="C104" t="s">
        <v>485</v>
      </c>
      <c r="D104" t="s">
        <v>486</v>
      </c>
    </row>
    <row r="105" spans="1:6" hidden="1" x14ac:dyDescent="0.25">
      <c r="A105" t="s">
        <v>281</v>
      </c>
      <c r="B105" t="s">
        <v>422</v>
      </c>
    </row>
    <row r="106" spans="1:6" hidden="1" x14ac:dyDescent="0.25">
      <c r="A106" t="s">
        <v>281</v>
      </c>
    </row>
    <row r="107" spans="1:6" x14ac:dyDescent="0.25">
      <c r="A107" t="s">
        <v>281</v>
      </c>
      <c r="B107">
        <v>1</v>
      </c>
      <c r="C107" t="s">
        <v>487</v>
      </c>
      <c r="D107" t="s">
        <v>488</v>
      </c>
    </row>
    <row r="108" spans="1:6" hidden="1" x14ac:dyDescent="0.25">
      <c r="B108" t="s">
        <v>422</v>
      </c>
    </row>
    <row r="109" spans="1:6" hidden="1" x14ac:dyDescent="0.25"/>
    <row r="110" spans="1:6" hidden="1" x14ac:dyDescent="0.25">
      <c r="B110" t="s">
        <v>273</v>
      </c>
    </row>
    <row r="111" spans="1:6" hidden="1" x14ac:dyDescent="0.25">
      <c r="B111" t="s">
        <v>415</v>
      </c>
      <c r="C111" t="s">
        <v>416</v>
      </c>
      <c r="D111" t="s">
        <v>417</v>
      </c>
      <c r="E111" t="s">
        <v>418</v>
      </c>
      <c r="F111" t="s">
        <v>419</v>
      </c>
    </row>
    <row r="112" spans="1:6" x14ac:dyDescent="0.25">
      <c r="A112" t="s">
        <v>273</v>
      </c>
      <c r="B112">
        <v>4</v>
      </c>
      <c r="C112" t="s">
        <v>489</v>
      </c>
      <c r="D112" t="s">
        <v>490</v>
      </c>
    </row>
    <row r="113" spans="1:6" hidden="1" x14ac:dyDescent="0.25">
      <c r="A113" t="s">
        <v>273</v>
      </c>
      <c r="B113" t="s">
        <v>422</v>
      </c>
    </row>
    <row r="114" spans="1:6" hidden="1" x14ac:dyDescent="0.25">
      <c r="A114" t="s">
        <v>273</v>
      </c>
    </row>
    <row r="115" spans="1:6" x14ac:dyDescent="0.25">
      <c r="A115" t="s">
        <v>273</v>
      </c>
      <c r="B115">
        <v>3</v>
      </c>
      <c r="C115" t="s">
        <v>491</v>
      </c>
      <c r="D115" t="s">
        <v>492</v>
      </c>
    </row>
    <row r="116" spans="1:6" hidden="1" x14ac:dyDescent="0.25">
      <c r="A116" t="s">
        <v>273</v>
      </c>
      <c r="B116" t="s">
        <v>422</v>
      </c>
    </row>
    <row r="117" spans="1:6" hidden="1" x14ac:dyDescent="0.25">
      <c r="A117" t="s">
        <v>273</v>
      </c>
    </row>
    <row r="118" spans="1:6" x14ac:dyDescent="0.25">
      <c r="A118" t="s">
        <v>273</v>
      </c>
      <c r="B118">
        <v>2</v>
      </c>
      <c r="C118" t="s">
        <v>493</v>
      </c>
      <c r="D118" t="s">
        <v>494</v>
      </c>
    </row>
    <row r="119" spans="1:6" hidden="1" x14ac:dyDescent="0.25">
      <c r="A119" t="s">
        <v>273</v>
      </c>
      <c r="B119" t="s">
        <v>422</v>
      </c>
    </row>
    <row r="120" spans="1:6" hidden="1" x14ac:dyDescent="0.25">
      <c r="A120" t="s">
        <v>273</v>
      </c>
    </row>
    <row r="121" spans="1:6" x14ac:dyDescent="0.25">
      <c r="A121" t="s">
        <v>273</v>
      </c>
      <c r="B121">
        <v>1</v>
      </c>
      <c r="C121" t="s">
        <v>495</v>
      </c>
      <c r="D121" t="s">
        <v>496</v>
      </c>
    </row>
    <row r="122" spans="1:6" hidden="1" x14ac:dyDescent="0.25">
      <c r="B122" t="s">
        <v>422</v>
      </c>
    </row>
    <row r="123" spans="1:6" hidden="1" x14ac:dyDescent="0.25"/>
    <row r="124" spans="1:6" hidden="1" x14ac:dyDescent="0.25">
      <c r="B124" t="s">
        <v>257</v>
      </c>
    </row>
    <row r="125" spans="1:6" hidden="1" x14ac:dyDescent="0.25">
      <c r="B125" t="s">
        <v>415</v>
      </c>
      <c r="C125" t="s">
        <v>416</v>
      </c>
      <c r="D125" t="s">
        <v>417</v>
      </c>
      <c r="E125" t="s">
        <v>418</v>
      </c>
      <c r="F125" t="s">
        <v>419</v>
      </c>
    </row>
    <row r="126" spans="1:6" x14ac:dyDescent="0.25">
      <c r="A126" t="s">
        <v>257</v>
      </c>
      <c r="B126">
        <v>10</v>
      </c>
      <c r="C126" t="s">
        <v>497</v>
      </c>
      <c r="D126" t="s">
        <v>498</v>
      </c>
    </row>
    <row r="127" spans="1:6" hidden="1" x14ac:dyDescent="0.25">
      <c r="A127" t="s">
        <v>257</v>
      </c>
      <c r="B127" t="s">
        <v>422</v>
      </c>
    </row>
    <row r="128" spans="1:6" hidden="1" x14ac:dyDescent="0.25">
      <c r="A128" t="s">
        <v>257</v>
      </c>
    </row>
    <row r="129" spans="1:4" x14ac:dyDescent="0.25">
      <c r="A129" t="s">
        <v>257</v>
      </c>
      <c r="B129">
        <v>9</v>
      </c>
      <c r="C129" t="s">
        <v>499</v>
      </c>
      <c r="D129" t="s">
        <v>500</v>
      </c>
    </row>
    <row r="130" spans="1:4" hidden="1" x14ac:dyDescent="0.25">
      <c r="A130" t="s">
        <v>257</v>
      </c>
      <c r="B130" t="s">
        <v>422</v>
      </c>
    </row>
    <row r="131" spans="1:4" hidden="1" x14ac:dyDescent="0.25">
      <c r="A131" t="s">
        <v>257</v>
      </c>
    </row>
    <row r="132" spans="1:4" x14ac:dyDescent="0.25">
      <c r="A132" t="s">
        <v>257</v>
      </c>
      <c r="B132">
        <v>8</v>
      </c>
      <c r="C132" t="s">
        <v>501</v>
      </c>
      <c r="D132" t="s">
        <v>502</v>
      </c>
    </row>
    <row r="133" spans="1:4" hidden="1" x14ac:dyDescent="0.25">
      <c r="A133" t="s">
        <v>257</v>
      </c>
      <c r="B133" t="s">
        <v>422</v>
      </c>
    </row>
    <row r="134" spans="1:4" hidden="1" x14ac:dyDescent="0.25">
      <c r="A134" t="s">
        <v>257</v>
      </c>
    </row>
    <row r="135" spans="1:4" x14ac:dyDescent="0.25">
      <c r="A135" t="s">
        <v>257</v>
      </c>
      <c r="B135">
        <v>7</v>
      </c>
      <c r="C135" t="s">
        <v>503</v>
      </c>
      <c r="D135" t="s">
        <v>504</v>
      </c>
    </row>
    <row r="136" spans="1:4" hidden="1" x14ac:dyDescent="0.25">
      <c r="A136" t="s">
        <v>257</v>
      </c>
      <c r="B136" t="s">
        <v>422</v>
      </c>
    </row>
    <row r="137" spans="1:4" hidden="1" x14ac:dyDescent="0.25">
      <c r="A137" t="s">
        <v>257</v>
      </c>
    </row>
    <row r="138" spans="1:4" x14ac:dyDescent="0.25">
      <c r="A138" t="s">
        <v>257</v>
      </c>
      <c r="B138">
        <v>6</v>
      </c>
      <c r="C138" t="s">
        <v>505</v>
      </c>
      <c r="D138" t="s">
        <v>506</v>
      </c>
    </row>
    <row r="139" spans="1:4" hidden="1" x14ac:dyDescent="0.25">
      <c r="A139" t="s">
        <v>257</v>
      </c>
      <c r="B139" t="s">
        <v>422</v>
      </c>
    </row>
    <row r="140" spans="1:4" hidden="1" x14ac:dyDescent="0.25">
      <c r="A140" t="s">
        <v>257</v>
      </c>
    </row>
    <row r="141" spans="1:4" x14ac:dyDescent="0.25">
      <c r="A141" t="s">
        <v>257</v>
      </c>
      <c r="B141">
        <v>5</v>
      </c>
      <c r="C141" t="s">
        <v>507</v>
      </c>
      <c r="D141" t="s">
        <v>508</v>
      </c>
    </row>
    <row r="142" spans="1:4" hidden="1" x14ac:dyDescent="0.25">
      <c r="A142" t="s">
        <v>257</v>
      </c>
      <c r="B142" t="s">
        <v>422</v>
      </c>
    </row>
    <row r="143" spans="1:4" hidden="1" x14ac:dyDescent="0.25">
      <c r="A143" t="s">
        <v>257</v>
      </c>
    </row>
    <row r="144" spans="1:4" x14ac:dyDescent="0.25">
      <c r="A144" t="s">
        <v>257</v>
      </c>
      <c r="B144">
        <v>4</v>
      </c>
      <c r="C144" t="s">
        <v>509</v>
      </c>
      <c r="D144" t="s">
        <v>510</v>
      </c>
    </row>
    <row r="145" spans="1:6" hidden="1" x14ac:dyDescent="0.25">
      <c r="A145" t="s">
        <v>257</v>
      </c>
      <c r="B145" t="s">
        <v>422</v>
      </c>
    </row>
    <row r="146" spans="1:6" hidden="1" x14ac:dyDescent="0.25">
      <c r="A146" t="s">
        <v>257</v>
      </c>
    </row>
    <row r="147" spans="1:6" x14ac:dyDescent="0.25">
      <c r="A147" t="s">
        <v>257</v>
      </c>
      <c r="B147">
        <v>3</v>
      </c>
      <c r="C147" t="s">
        <v>511</v>
      </c>
      <c r="D147" t="s">
        <v>512</v>
      </c>
    </row>
    <row r="148" spans="1:6" hidden="1" x14ac:dyDescent="0.25">
      <c r="A148" t="s">
        <v>257</v>
      </c>
      <c r="B148" t="s">
        <v>422</v>
      </c>
    </row>
    <row r="149" spans="1:6" hidden="1" x14ac:dyDescent="0.25">
      <c r="A149" t="s">
        <v>257</v>
      </c>
    </row>
    <row r="150" spans="1:6" x14ac:dyDescent="0.25">
      <c r="A150" t="s">
        <v>257</v>
      </c>
      <c r="B150">
        <v>2</v>
      </c>
      <c r="C150" t="s">
        <v>513</v>
      </c>
      <c r="D150" t="s">
        <v>514</v>
      </c>
    </row>
    <row r="151" spans="1:6" hidden="1" x14ac:dyDescent="0.25">
      <c r="A151" t="s">
        <v>257</v>
      </c>
      <c r="B151" t="s">
        <v>422</v>
      </c>
    </row>
    <row r="152" spans="1:6" hidden="1" x14ac:dyDescent="0.25">
      <c r="A152" t="s">
        <v>257</v>
      </c>
    </row>
    <row r="153" spans="1:6" x14ac:dyDescent="0.25">
      <c r="A153" t="s">
        <v>257</v>
      </c>
      <c r="B153">
        <v>1</v>
      </c>
      <c r="C153" t="s">
        <v>515</v>
      </c>
      <c r="D153" t="s">
        <v>516</v>
      </c>
    </row>
    <row r="154" spans="1:6" hidden="1" x14ac:dyDescent="0.25">
      <c r="B154" t="s">
        <v>422</v>
      </c>
    </row>
    <row r="155" spans="1:6" hidden="1" x14ac:dyDescent="0.25"/>
    <row r="156" spans="1:6" hidden="1" x14ac:dyDescent="0.25">
      <c r="B156" t="s">
        <v>242</v>
      </c>
    </row>
    <row r="157" spans="1:6" hidden="1" x14ac:dyDescent="0.25">
      <c r="B157" t="s">
        <v>415</v>
      </c>
      <c r="C157" t="s">
        <v>416</v>
      </c>
      <c r="D157" t="s">
        <v>417</v>
      </c>
      <c r="E157" t="s">
        <v>418</v>
      </c>
      <c r="F157" t="s">
        <v>419</v>
      </c>
    </row>
    <row r="158" spans="1:6" x14ac:dyDescent="0.25">
      <c r="A158" t="s">
        <v>242</v>
      </c>
      <c r="B158">
        <v>11</v>
      </c>
      <c r="C158" t="s">
        <v>517</v>
      </c>
      <c r="D158" t="s">
        <v>518</v>
      </c>
    </row>
    <row r="159" spans="1:6" hidden="1" x14ac:dyDescent="0.25">
      <c r="A159" t="s">
        <v>242</v>
      </c>
      <c r="B159" t="s">
        <v>422</v>
      </c>
    </row>
    <row r="160" spans="1:6" hidden="1" x14ac:dyDescent="0.25">
      <c r="A160" t="s">
        <v>242</v>
      </c>
    </row>
    <row r="161" spans="1:4" x14ac:dyDescent="0.25">
      <c r="A161" t="s">
        <v>242</v>
      </c>
      <c r="B161">
        <v>10</v>
      </c>
      <c r="C161" t="s">
        <v>519</v>
      </c>
      <c r="D161" t="s">
        <v>520</v>
      </c>
    </row>
    <row r="162" spans="1:4" hidden="1" x14ac:dyDescent="0.25">
      <c r="A162" t="s">
        <v>242</v>
      </c>
      <c r="B162" t="s">
        <v>422</v>
      </c>
    </row>
    <row r="163" spans="1:4" hidden="1" x14ac:dyDescent="0.25">
      <c r="A163" t="s">
        <v>242</v>
      </c>
    </row>
    <row r="164" spans="1:4" x14ac:dyDescent="0.25">
      <c r="A164" t="s">
        <v>242</v>
      </c>
      <c r="B164">
        <v>9</v>
      </c>
      <c r="C164" t="s">
        <v>521</v>
      </c>
      <c r="D164" t="s">
        <v>522</v>
      </c>
    </row>
    <row r="165" spans="1:4" hidden="1" x14ac:dyDescent="0.25">
      <c r="A165" t="s">
        <v>242</v>
      </c>
      <c r="B165" t="s">
        <v>422</v>
      </c>
    </row>
    <row r="166" spans="1:4" hidden="1" x14ac:dyDescent="0.25">
      <c r="A166" t="s">
        <v>242</v>
      </c>
    </row>
    <row r="167" spans="1:4" x14ac:dyDescent="0.25">
      <c r="A167" t="s">
        <v>242</v>
      </c>
      <c r="B167">
        <v>8</v>
      </c>
      <c r="C167" t="s">
        <v>523</v>
      </c>
      <c r="D167" t="s">
        <v>524</v>
      </c>
    </row>
    <row r="168" spans="1:4" hidden="1" x14ac:dyDescent="0.25">
      <c r="A168" t="s">
        <v>242</v>
      </c>
      <c r="B168" t="s">
        <v>422</v>
      </c>
    </row>
    <row r="169" spans="1:4" hidden="1" x14ac:dyDescent="0.25">
      <c r="A169" t="s">
        <v>242</v>
      </c>
    </row>
    <row r="170" spans="1:4" x14ac:dyDescent="0.25">
      <c r="A170" t="s">
        <v>242</v>
      </c>
      <c r="B170">
        <v>7</v>
      </c>
      <c r="C170" t="s">
        <v>525</v>
      </c>
      <c r="D170" t="s">
        <v>526</v>
      </c>
    </row>
    <row r="171" spans="1:4" hidden="1" x14ac:dyDescent="0.25">
      <c r="A171" t="s">
        <v>242</v>
      </c>
      <c r="B171" t="s">
        <v>422</v>
      </c>
    </row>
    <row r="172" spans="1:4" hidden="1" x14ac:dyDescent="0.25">
      <c r="A172" t="s">
        <v>242</v>
      </c>
    </row>
    <row r="173" spans="1:4" x14ac:dyDescent="0.25">
      <c r="A173" t="s">
        <v>242</v>
      </c>
      <c r="B173">
        <v>6</v>
      </c>
      <c r="C173" t="s">
        <v>527</v>
      </c>
      <c r="D173" t="s">
        <v>528</v>
      </c>
    </row>
    <row r="174" spans="1:4" hidden="1" x14ac:dyDescent="0.25">
      <c r="A174" t="s">
        <v>242</v>
      </c>
      <c r="B174" t="s">
        <v>422</v>
      </c>
    </row>
    <row r="175" spans="1:4" hidden="1" x14ac:dyDescent="0.25">
      <c r="A175" t="s">
        <v>242</v>
      </c>
    </row>
    <row r="176" spans="1:4" x14ac:dyDescent="0.25">
      <c r="A176" t="s">
        <v>242</v>
      </c>
      <c r="B176">
        <v>5</v>
      </c>
      <c r="C176" t="s">
        <v>529</v>
      </c>
      <c r="D176" t="s">
        <v>530</v>
      </c>
    </row>
    <row r="177" spans="1:6" hidden="1" x14ac:dyDescent="0.25">
      <c r="A177" t="s">
        <v>242</v>
      </c>
      <c r="B177" t="s">
        <v>422</v>
      </c>
    </row>
    <row r="178" spans="1:6" hidden="1" x14ac:dyDescent="0.25">
      <c r="A178" t="s">
        <v>242</v>
      </c>
    </row>
    <row r="179" spans="1:6" x14ac:dyDescent="0.25">
      <c r="A179" t="s">
        <v>242</v>
      </c>
      <c r="B179">
        <v>4</v>
      </c>
      <c r="C179" t="s">
        <v>531</v>
      </c>
      <c r="D179" t="s">
        <v>532</v>
      </c>
    </row>
    <row r="180" spans="1:6" hidden="1" x14ac:dyDescent="0.25">
      <c r="A180" t="s">
        <v>242</v>
      </c>
      <c r="B180" t="s">
        <v>422</v>
      </c>
    </row>
    <row r="181" spans="1:6" hidden="1" x14ac:dyDescent="0.25">
      <c r="A181" t="s">
        <v>242</v>
      </c>
    </row>
    <row r="182" spans="1:6" x14ac:dyDescent="0.25">
      <c r="A182" t="s">
        <v>242</v>
      </c>
      <c r="B182">
        <v>3</v>
      </c>
      <c r="C182" t="s">
        <v>533</v>
      </c>
      <c r="D182" t="s">
        <v>534</v>
      </c>
    </row>
    <row r="183" spans="1:6" hidden="1" x14ac:dyDescent="0.25">
      <c r="A183" t="s">
        <v>242</v>
      </c>
      <c r="B183" t="s">
        <v>422</v>
      </c>
    </row>
    <row r="184" spans="1:6" hidden="1" x14ac:dyDescent="0.25">
      <c r="A184" t="s">
        <v>242</v>
      </c>
    </row>
    <row r="185" spans="1:6" x14ac:dyDescent="0.25">
      <c r="A185" t="s">
        <v>242</v>
      </c>
      <c r="B185">
        <v>2</v>
      </c>
      <c r="C185" t="s">
        <v>535</v>
      </c>
      <c r="D185" t="s">
        <v>536</v>
      </c>
    </row>
    <row r="186" spans="1:6" hidden="1" x14ac:dyDescent="0.25">
      <c r="A186" t="s">
        <v>242</v>
      </c>
      <c r="B186" t="s">
        <v>422</v>
      </c>
    </row>
    <row r="187" spans="1:6" hidden="1" x14ac:dyDescent="0.25">
      <c r="A187" t="s">
        <v>242</v>
      </c>
    </row>
    <row r="188" spans="1:6" x14ac:dyDescent="0.25">
      <c r="A188" t="s">
        <v>242</v>
      </c>
      <c r="B188">
        <v>1</v>
      </c>
      <c r="C188" t="s">
        <v>537</v>
      </c>
      <c r="D188" t="s">
        <v>538</v>
      </c>
    </row>
    <row r="189" spans="1:6" hidden="1" x14ac:dyDescent="0.25">
      <c r="B189" t="s">
        <v>422</v>
      </c>
    </row>
    <row r="190" spans="1:6" hidden="1" x14ac:dyDescent="0.25"/>
    <row r="191" spans="1:6" hidden="1" x14ac:dyDescent="0.25">
      <c r="B191" t="s">
        <v>228</v>
      </c>
    </row>
    <row r="192" spans="1:6" hidden="1" x14ac:dyDescent="0.25">
      <c r="B192" t="s">
        <v>415</v>
      </c>
      <c r="C192" t="s">
        <v>416</v>
      </c>
      <c r="D192" t="s">
        <v>417</v>
      </c>
      <c r="E192" t="s">
        <v>418</v>
      </c>
      <c r="F192" t="s">
        <v>419</v>
      </c>
    </row>
    <row r="193" spans="1:4" x14ac:dyDescent="0.25">
      <c r="A193" t="s">
        <v>228</v>
      </c>
      <c r="B193">
        <v>12</v>
      </c>
      <c r="C193" t="s">
        <v>539</v>
      </c>
      <c r="D193" t="s">
        <v>540</v>
      </c>
    </row>
    <row r="194" spans="1:4" hidden="1" x14ac:dyDescent="0.25">
      <c r="A194" t="s">
        <v>228</v>
      </c>
      <c r="B194" t="s">
        <v>422</v>
      </c>
    </row>
    <row r="195" spans="1:4" hidden="1" x14ac:dyDescent="0.25">
      <c r="A195" t="s">
        <v>228</v>
      </c>
    </row>
    <row r="196" spans="1:4" x14ac:dyDescent="0.25">
      <c r="A196" t="s">
        <v>228</v>
      </c>
      <c r="B196">
        <v>11</v>
      </c>
      <c r="C196" t="s">
        <v>541</v>
      </c>
      <c r="D196" t="s">
        <v>542</v>
      </c>
    </row>
    <row r="197" spans="1:4" hidden="1" x14ac:dyDescent="0.25">
      <c r="A197" t="s">
        <v>228</v>
      </c>
      <c r="B197" t="s">
        <v>422</v>
      </c>
    </row>
    <row r="198" spans="1:4" hidden="1" x14ac:dyDescent="0.25">
      <c r="A198" t="s">
        <v>228</v>
      </c>
    </row>
    <row r="199" spans="1:4" x14ac:dyDescent="0.25">
      <c r="A199" t="s">
        <v>228</v>
      </c>
      <c r="B199">
        <v>10</v>
      </c>
      <c r="C199" t="s">
        <v>543</v>
      </c>
      <c r="D199" t="s">
        <v>544</v>
      </c>
    </row>
    <row r="200" spans="1:4" hidden="1" x14ac:dyDescent="0.25">
      <c r="A200" t="s">
        <v>228</v>
      </c>
      <c r="B200" t="s">
        <v>422</v>
      </c>
    </row>
    <row r="201" spans="1:4" hidden="1" x14ac:dyDescent="0.25">
      <c r="A201" t="s">
        <v>228</v>
      </c>
    </row>
    <row r="202" spans="1:4" x14ac:dyDescent="0.25">
      <c r="A202" t="s">
        <v>228</v>
      </c>
      <c r="B202">
        <v>9</v>
      </c>
      <c r="C202" t="s">
        <v>545</v>
      </c>
      <c r="D202" t="s">
        <v>546</v>
      </c>
    </row>
    <row r="203" spans="1:4" hidden="1" x14ac:dyDescent="0.25">
      <c r="A203" t="s">
        <v>228</v>
      </c>
      <c r="B203" t="s">
        <v>422</v>
      </c>
    </row>
    <row r="204" spans="1:4" hidden="1" x14ac:dyDescent="0.25">
      <c r="A204" t="s">
        <v>228</v>
      </c>
    </row>
    <row r="205" spans="1:4" x14ac:dyDescent="0.25">
      <c r="A205" t="s">
        <v>228</v>
      </c>
      <c r="B205">
        <v>8</v>
      </c>
      <c r="C205" t="s">
        <v>547</v>
      </c>
      <c r="D205" t="s">
        <v>548</v>
      </c>
    </row>
    <row r="206" spans="1:4" hidden="1" x14ac:dyDescent="0.25">
      <c r="A206" t="s">
        <v>228</v>
      </c>
      <c r="B206" t="s">
        <v>422</v>
      </c>
    </row>
    <row r="207" spans="1:4" hidden="1" x14ac:dyDescent="0.25">
      <c r="A207" t="s">
        <v>228</v>
      </c>
    </row>
    <row r="208" spans="1:4" x14ac:dyDescent="0.25">
      <c r="A208" t="s">
        <v>228</v>
      </c>
      <c r="B208">
        <v>7</v>
      </c>
      <c r="C208" t="s">
        <v>549</v>
      </c>
      <c r="D208" t="s">
        <v>550</v>
      </c>
    </row>
    <row r="209" spans="1:4" hidden="1" x14ac:dyDescent="0.25">
      <c r="A209" t="s">
        <v>228</v>
      </c>
      <c r="B209" t="s">
        <v>422</v>
      </c>
    </row>
    <row r="210" spans="1:4" hidden="1" x14ac:dyDescent="0.25">
      <c r="A210" t="s">
        <v>228</v>
      </c>
    </row>
    <row r="211" spans="1:4" x14ac:dyDescent="0.25">
      <c r="A211" t="s">
        <v>228</v>
      </c>
      <c r="B211">
        <v>6</v>
      </c>
      <c r="C211" t="s">
        <v>551</v>
      </c>
      <c r="D211" t="s">
        <v>552</v>
      </c>
    </row>
    <row r="212" spans="1:4" hidden="1" x14ac:dyDescent="0.25">
      <c r="A212" t="s">
        <v>228</v>
      </c>
      <c r="B212" t="s">
        <v>422</v>
      </c>
    </row>
    <row r="213" spans="1:4" hidden="1" x14ac:dyDescent="0.25">
      <c r="A213" t="s">
        <v>228</v>
      </c>
    </row>
    <row r="214" spans="1:4" x14ac:dyDescent="0.25">
      <c r="A214" t="s">
        <v>228</v>
      </c>
      <c r="B214">
        <v>5</v>
      </c>
      <c r="C214" t="s">
        <v>553</v>
      </c>
      <c r="D214" t="s">
        <v>554</v>
      </c>
    </row>
    <row r="215" spans="1:4" hidden="1" x14ac:dyDescent="0.25">
      <c r="A215" t="s">
        <v>228</v>
      </c>
      <c r="B215" t="s">
        <v>422</v>
      </c>
    </row>
    <row r="216" spans="1:4" hidden="1" x14ac:dyDescent="0.25">
      <c r="A216" t="s">
        <v>228</v>
      </c>
    </row>
    <row r="217" spans="1:4" x14ac:dyDescent="0.25">
      <c r="A217" t="s">
        <v>228</v>
      </c>
      <c r="B217">
        <v>4</v>
      </c>
      <c r="C217" t="s">
        <v>555</v>
      </c>
      <c r="D217" t="s">
        <v>556</v>
      </c>
    </row>
    <row r="218" spans="1:4" hidden="1" x14ac:dyDescent="0.25">
      <c r="A218" t="s">
        <v>228</v>
      </c>
      <c r="B218" t="s">
        <v>422</v>
      </c>
    </row>
    <row r="219" spans="1:4" hidden="1" x14ac:dyDescent="0.25">
      <c r="A219" t="s">
        <v>228</v>
      </c>
    </row>
    <row r="220" spans="1:4" x14ac:dyDescent="0.25">
      <c r="A220" t="s">
        <v>228</v>
      </c>
      <c r="B220">
        <v>3</v>
      </c>
      <c r="C220" t="s">
        <v>557</v>
      </c>
      <c r="D220" t="s">
        <v>558</v>
      </c>
    </row>
    <row r="221" spans="1:4" hidden="1" x14ac:dyDescent="0.25">
      <c r="A221" t="s">
        <v>228</v>
      </c>
      <c r="B221" t="s">
        <v>422</v>
      </c>
    </row>
    <row r="222" spans="1:4" hidden="1" x14ac:dyDescent="0.25">
      <c r="A222" t="s">
        <v>228</v>
      </c>
    </row>
    <row r="223" spans="1:4" x14ac:dyDescent="0.25">
      <c r="A223" t="s">
        <v>228</v>
      </c>
      <c r="B223">
        <v>2</v>
      </c>
      <c r="C223" t="s">
        <v>559</v>
      </c>
      <c r="D223" t="s">
        <v>560</v>
      </c>
    </row>
    <row r="224" spans="1:4" hidden="1" x14ac:dyDescent="0.25">
      <c r="A224" t="s">
        <v>228</v>
      </c>
      <c r="B224" t="s">
        <v>422</v>
      </c>
    </row>
    <row r="225" spans="1:6" hidden="1" x14ac:dyDescent="0.25">
      <c r="A225" t="s">
        <v>228</v>
      </c>
    </row>
    <row r="226" spans="1:6" x14ac:dyDescent="0.25">
      <c r="A226" t="s">
        <v>228</v>
      </c>
      <c r="B226">
        <v>1</v>
      </c>
      <c r="C226" t="s">
        <v>561</v>
      </c>
      <c r="D226" t="s">
        <v>562</v>
      </c>
    </row>
    <row r="227" spans="1:6" hidden="1" x14ac:dyDescent="0.25">
      <c r="B227" t="s">
        <v>422</v>
      </c>
    </row>
    <row r="228" spans="1:6" hidden="1" x14ac:dyDescent="0.25"/>
    <row r="229" spans="1:6" hidden="1" x14ac:dyDescent="0.25">
      <c r="B229" t="s">
        <v>211</v>
      </c>
    </row>
    <row r="230" spans="1:6" hidden="1" x14ac:dyDescent="0.25">
      <c r="B230" t="s">
        <v>415</v>
      </c>
      <c r="C230" t="s">
        <v>416</v>
      </c>
      <c r="D230" t="s">
        <v>417</v>
      </c>
      <c r="E230" t="s">
        <v>418</v>
      </c>
      <c r="F230" t="s">
        <v>419</v>
      </c>
    </row>
    <row r="231" spans="1:6" x14ac:dyDescent="0.25">
      <c r="A231" t="s">
        <v>211</v>
      </c>
      <c r="B231">
        <v>12</v>
      </c>
      <c r="C231" t="s">
        <v>563</v>
      </c>
      <c r="D231" t="s">
        <v>564</v>
      </c>
    </row>
    <row r="232" spans="1:6" hidden="1" x14ac:dyDescent="0.25">
      <c r="A232" t="s">
        <v>211</v>
      </c>
      <c r="B232" t="s">
        <v>422</v>
      </c>
    </row>
    <row r="233" spans="1:6" hidden="1" x14ac:dyDescent="0.25">
      <c r="A233" t="s">
        <v>211</v>
      </c>
    </row>
    <row r="234" spans="1:6" x14ac:dyDescent="0.25">
      <c r="A234" t="s">
        <v>211</v>
      </c>
      <c r="B234">
        <v>11</v>
      </c>
      <c r="C234" t="s">
        <v>565</v>
      </c>
      <c r="D234" t="s">
        <v>566</v>
      </c>
    </row>
    <row r="235" spans="1:6" hidden="1" x14ac:dyDescent="0.25">
      <c r="A235" t="s">
        <v>211</v>
      </c>
      <c r="B235" t="s">
        <v>422</v>
      </c>
    </row>
    <row r="236" spans="1:6" hidden="1" x14ac:dyDescent="0.25">
      <c r="A236" t="s">
        <v>211</v>
      </c>
    </row>
    <row r="237" spans="1:6" x14ac:dyDescent="0.25">
      <c r="A237" t="s">
        <v>211</v>
      </c>
      <c r="B237">
        <v>10</v>
      </c>
      <c r="C237" t="s">
        <v>567</v>
      </c>
      <c r="D237" t="s">
        <v>568</v>
      </c>
    </row>
    <row r="238" spans="1:6" hidden="1" x14ac:dyDescent="0.25">
      <c r="A238" t="s">
        <v>211</v>
      </c>
      <c r="B238" t="s">
        <v>422</v>
      </c>
    </row>
    <row r="239" spans="1:6" hidden="1" x14ac:dyDescent="0.25">
      <c r="A239" t="s">
        <v>211</v>
      </c>
    </row>
    <row r="240" spans="1:6" x14ac:dyDescent="0.25">
      <c r="A240" t="s">
        <v>211</v>
      </c>
      <c r="B240">
        <v>9</v>
      </c>
      <c r="C240" t="s">
        <v>569</v>
      </c>
      <c r="D240" t="s">
        <v>570</v>
      </c>
    </row>
    <row r="241" spans="1:4" hidden="1" x14ac:dyDescent="0.25">
      <c r="A241" t="s">
        <v>211</v>
      </c>
      <c r="B241" t="s">
        <v>422</v>
      </c>
    </row>
    <row r="242" spans="1:4" hidden="1" x14ac:dyDescent="0.25">
      <c r="A242" t="s">
        <v>211</v>
      </c>
    </row>
    <row r="243" spans="1:4" x14ac:dyDescent="0.25">
      <c r="A243" t="s">
        <v>211</v>
      </c>
      <c r="B243">
        <v>8</v>
      </c>
      <c r="C243" t="s">
        <v>571</v>
      </c>
      <c r="D243" t="s">
        <v>572</v>
      </c>
    </row>
    <row r="244" spans="1:4" hidden="1" x14ac:dyDescent="0.25">
      <c r="A244" t="s">
        <v>211</v>
      </c>
      <c r="B244" t="s">
        <v>422</v>
      </c>
    </row>
    <row r="245" spans="1:4" hidden="1" x14ac:dyDescent="0.25">
      <c r="A245" t="s">
        <v>211</v>
      </c>
    </row>
    <row r="246" spans="1:4" x14ac:dyDescent="0.25">
      <c r="A246" t="s">
        <v>211</v>
      </c>
      <c r="B246">
        <v>7</v>
      </c>
      <c r="C246" t="s">
        <v>573</v>
      </c>
      <c r="D246" t="s">
        <v>574</v>
      </c>
    </row>
    <row r="247" spans="1:4" hidden="1" x14ac:dyDescent="0.25">
      <c r="A247" t="s">
        <v>211</v>
      </c>
      <c r="B247" t="s">
        <v>422</v>
      </c>
    </row>
    <row r="248" spans="1:4" hidden="1" x14ac:dyDescent="0.25">
      <c r="A248" t="s">
        <v>211</v>
      </c>
    </row>
    <row r="249" spans="1:4" x14ac:dyDescent="0.25">
      <c r="A249" t="s">
        <v>211</v>
      </c>
      <c r="B249">
        <v>6</v>
      </c>
      <c r="C249" t="s">
        <v>575</v>
      </c>
      <c r="D249" t="s">
        <v>576</v>
      </c>
    </row>
    <row r="250" spans="1:4" hidden="1" x14ac:dyDescent="0.25">
      <c r="A250" t="s">
        <v>211</v>
      </c>
      <c r="B250" t="s">
        <v>422</v>
      </c>
    </row>
    <row r="251" spans="1:4" hidden="1" x14ac:dyDescent="0.25">
      <c r="A251" t="s">
        <v>211</v>
      </c>
    </row>
    <row r="252" spans="1:4" x14ac:dyDescent="0.25">
      <c r="A252" t="s">
        <v>211</v>
      </c>
      <c r="B252">
        <v>5</v>
      </c>
      <c r="C252" t="s">
        <v>577</v>
      </c>
      <c r="D252" t="s">
        <v>578</v>
      </c>
    </row>
    <row r="253" spans="1:4" hidden="1" x14ac:dyDescent="0.25">
      <c r="A253" t="s">
        <v>211</v>
      </c>
      <c r="B253" t="s">
        <v>422</v>
      </c>
    </row>
    <row r="254" spans="1:4" hidden="1" x14ac:dyDescent="0.25">
      <c r="A254" t="s">
        <v>211</v>
      </c>
    </row>
    <row r="255" spans="1:4" x14ac:dyDescent="0.25">
      <c r="A255" t="s">
        <v>211</v>
      </c>
      <c r="B255">
        <v>4</v>
      </c>
      <c r="C255" t="s">
        <v>579</v>
      </c>
      <c r="D255" t="s">
        <v>580</v>
      </c>
    </row>
    <row r="256" spans="1:4" hidden="1" x14ac:dyDescent="0.25">
      <c r="A256" t="s">
        <v>211</v>
      </c>
      <c r="B256" t="s">
        <v>422</v>
      </c>
    </row>
    <row r="257" spans="1:6" hidden="1" x14ac:dyDescent="0.25">
      <c r="A257" t="s">
        <v>211</v>
      </c>
    </row>
    <row r="258" spans="1:6" x14ac:dyDescent="0.25">
      <c r="A258" t="s">
        <v>211</v>
      </c>
      <c r="B258">
        <v>3</v>
      </c>
      <c r="C258" t="s">
        <v>581</v>
      </c>
      <c r="D258" t="s">
        <v>582</v>
      </c>
    </row>
    <row r="259" spans="1:6" hidden="1" x14ac:dyDescent="0.25">
      <c r="A259" t="s">
        <v>211</v>
      </c>
      <c r="B259" t="s">
        <v>422</v>
      </c>
    </row>
    <row r="260" spans="1:6" hidden="1" x14ac:dyDescent="0.25">
      <c r="A260" t="s">
        <v>211</v>
      </c>
    </row>
    <row r="261" spans="1:6" x14ac:dyDescent="0.25">
      <c r="A261" t="s">
        <v>211</v>
      </c>
      <c r="B261">
        <v>2</v>
      </c>
      <c r="C261" t="s">
        <v>583</v>
      </c>
      <c r="D261" t="s">
        <v>584</v>
      </c>
    </row>
    <row r="262" spans="1:6" hidden="1" x14ac:dyDescent="0.25">
      <c r="A262" t="s">
        <v>211</v>
      </c>
      <c r="B262" t="s">
        <v>422</v>
      </c>
    </row>
    <row r="263" spans="1:6" hidden="1" x14ac:dyDescent="0.25">
      <c r="A263" t="s">
        <v>211</v>
      </c>
    </row>
    <row r="264" spans="1:6" x14ac:dyDescent="0.25">
      <c r="A264" t="s">
        <v>211</v>
      </c>
      <c r="B264">
        <v>1</v>
      </c>
      <c r="C264" t="s">
        <v>585</v>
      </c>
      <c r="D264" t="s">
        <v>586</v>
      </c>
    </row>
    <row r="265" spans="1:6" hidden="1" x14ac:dyDescent="0.25">
      <c r="B265" t="s">
        <v>422</v>
      </c>
    </row>
    <row r="266" spans="1:6" hidden="1" x14ac:dyDescent="0.25"/>
    <row r="267" spans="1:6" hidden="1" x14ac:dyDescent="0.25">
      <c r="B267" t="s">
        <v>189</v>
      </c>
    </row>
    <row r="268" spans="1:6" hidden="1" x14ac:dyDescent="0.25">
      <c r="B268" t="s">
        <v>415</v>
      </c>
      <c r="C268" t="s">
        <v>416</v>
      </c>
      <c r="D268" t="s">
        <v>417</v>
      </c>
      <c r="E268" t="s">
        <v>418</v>
      </c>
      <c r="F268" t="s">
        <v>419</v>
      </c>
    </row>
    <row r="269" spans="1:6" x14ac:dyDescent="0.25">
      <c r="A269" t="s">
        <v>189</v>
      </c>
      <c r="B269">
        <v>14</v>
      </c>
      <c r="C269" t="s">
        <v>587</v>
      </c>
      <c r="D269" t="s">
        <v>588</v>
      </c>
    </row>
    <row r="270" spans="1:6" hidden="1" x14ac:dyDescent="0.25">
      <c r="A270" t="s">
        <v>189</v>
      </c>
      <c r="B270" t="s">
        <v>422</v>
      </c>
    </row>
    <row r="271" spans="1:6" hidden="1" x14ac:dyDescent="0.25">
      <c r="A271" t="s">
        <v>189</v>
      </c>
    </row>
    <row r="272" spans="1:6" x14ac:dyDescent="0.25">
      <c r="A272" t="s">
        <v>189</v>
      </c>
      <c r="B272">
        <v>13</v>
      </c>
      <c r="C272" t="s">
        <v>589</v>
      </c>
      <c r="D272" t="s">
        <v>590</v>
      </c>
    </row>
    <row r="273" spans="1:4" hidden="1" x14ac:dyDescent="0.25">
      <c r="A273" t="s">
        <v>189</v>
      </c>
      <c r="B273" t="s">
        <v>422</v>
      </c>
    </row>
    <row r="274" spans="1:4" hidden="1" x14ac:dyDescent="0.25">
      <c r="A274" t="s">
        <v>189</v>
      </c>
    </row>
    <row r="275" spans="1:4" x14ac:dyDescent="0.25">
      <c r="A275" t="s">
        <v>189</v>
      </c>
      <c r="B275">
        <v>12</v>
      </c>
      <c r="C275" t="s">
        <v>591</v>
      </c>
      <c r="D275" t="s">
        <v>592</v>
      </c>
    </row>
    <row r="276" spans="1:4" hidden="1" x14ac:dyDescent="0.25">
      <c r="A276" t="s">
        <v>189</v>
      </c>
      <c r="B276" t="s">
        <v>422</v>
      </c>
    </row>
    <row r="277" spans="1:4" hidden="1" x14ac:dyDescent="0.25">
      <c r="A277" t="s">
        <v>189</v>
      </c>
    </row>
    <row r="278" spans="1:4" x14ac:dyDescent="0.25">
      <c r="A278" t="s">
        <v>189</v>
      </c>
      <c r="B278">
        <v>11</v>
      </c>
      <c r="C278" t="s">
        <v>593</v>
      </c>
      <c r="D278" t="s">
        <v>594</v>
      </c>
    </row>
    <row r="279" spans="1:4" hidden="1" x14ac:dyDescent="0.25">
      <c r="A279" t="s">
        <v>189</v>
      </c>
      <c r="B279" t="s">
        <v>422</v>
      </c>
    </row>
    <row r="280" spans="1:4" hidden="1" x14ac:dyDescent="0.25">
      <c r="A280" t="s">
        <v>189</v>
      </c>
    </row>
    <row r="281" spans="1:4" x14ac:dyDescent="0.25">
      <c r="A281" t="s">
        <v>189</v>
      </c>
      <c r="B281">
        <v>10</v>
      </c>
      <c r="C281" t="s">
        <v>595</v>
      </c>
      <c r="D281" t="s">
        <v>596</v>
      </c>
    </row>
    <row r="282" spans="1:4" hidden="1" x14ac:dyDescent="0.25">
      <c r="A282" t="s">
        <v>189</v>
      </c>
      <c r="B282" t="s">
        <v>422</v>
      </c>
    </row>
    <row r="283" spans="1:4" hidden="1" x14ac:dyDescent="0.25">
      <c r="A283" t="s">
        <v>189</v>
      </c>
    </row>
    <row r="284" spans="1:4" x14ac:dyDescent="0.25">
      <c r="A284" t="s">
        <v>189</v>
      </c>
      <c r="B284">
        <v>9</v>
      </c>
      <c r="C284" t="s">
        <v>597</v>
      </c>
      <c r="D284" t="s">
        <v>598</v>
      </c>
    </row>
    <row r="285" spans="1:4" hidden="1" x14ac:dyDescent="0.25">
      <c r="A285" t="s">
        <v>189</v>
      </c>
      <c r="B285" t="s">
        <v>422</v>
      </c>
    </row>
    <row r="286" spans="1:4" hidden="1" x14ac:dyDescent="0.25">
      <c r="A286" t="s">
        <v>189</v>
      </c>
    </row>
    <row r="287" spans="1:4" x14ac:dyDescent="0.25">
      <c r="A287" t="s">
        <v>189</v>
      </c>
      <c r="B287">
        <v>8</v>
      </c>
      <c r="C287" t="s">
        <v>599</v>
      </c>
      <c r="D287" t="s">
        <v>600</v>
      </c>
    </row>
    <row r="288" spans="1:4" hidden="1" x14ac:dyDescent="0.25">
      <c r="A288" t="s">
        <v>189</v>
      </c>
      <c r="B288" t="s">
        <v>422</v>
      </c>
    </row>
    <row r="289" spans="1:4" hidden="1" x14ac:dyDescent="0.25">
      <c r="A289" t="s">
        <v>189</v>
      </c>
    </row>
    <row r="290" spans="1:4" x14ac:dyDescent="0.25">
      <c r="A290" t="s">
        <v>189</v>
      </c>
      <c r="B290">
        <v>7</v>
      </c>
      <c r="C290" t="s">
        <v>601</v>
      </c>
      <c r="D290" t="s">
        <v>602</v>
      </c>
    </row>
    <row r="291" spans="1:4" hidden="1" x14ac:dyDescent="0.25">
      <c r="A291" t="s">
        <v>189</v>
      </c>
      <c r="B291" t="s">
        <v>422</v>
      </c>
    </row>
    <row r="292" spans="1:4" hidden="1" x14ac:dyDescent="0.25">
      <c r="A292" t="s">
        <v>189</v>
      </c>
    </row>
    <row r="293" spans="1:4" x14ac:dyDescent="0.25">
      <c r="A293" t="s">
        <v>189</v>
      </c>
      <c r="B293">
        <v>6</v>
      </c>
      <c r="C293" t="s">
        <v>603</v>
      </c>
      <c r="D293" t="s">
        <v>604</v>
      </c>
    </row>
    <row r="294" spans="1:4" hidden="1" x14ac:dyDescent="0.25">
      <c r="A294" t="s">
        <v>189</v>
      </c>
      <c r="B294" t="s">
        <v>422</v>
      </c>
    </row>
    <row r="295" spans="1:4" hidden="1" x14ac:dyDescent="0.25">
      <c r="A295" t="s">
        <v>189</v>
      </c>
    </row>
    <row r="296" spans="1:4" x14ac:dyDescent="0.25">
      <c r="A296" t="s">
        <v>189</v>
      </c>
      <c r="B296">
        <v>5</v>
      </c>
      <c r="C296" t="s">
        <v>605</v>
      </c>
      <c r="D296" t="s">
        <v>606</v>
      </c>
    </row>
    <row r="297" spans="1:4" hidden="1" x14ac:dyDescent="0.25">
      <c r="A297" t="s">
        <v>189</v>
      </c>
      <c r="B297" t="s">
        <v>422</v>
      </c>
    </row>
    <row r="298" spans="1:4" hidden="1" x14ac:dyDescent="0.25">
      <c r="A298" t="s">
        <v>189</v>
      </c>
    </row>
    <row r="299" spans="1:4" x14ac:dyDescent="0.25">
      <c r="A299" t="s">
        <v>189</v>
      </c>
      <c r="B299">
        <v>4</v>
      </c>
      <c r="C299" t="s">
        <v>607</v>
      </c>
      <c r="D299" t="s">
        <v>608</v>
      </c>
    </row>
    <row r="300" spans="1:4" hidden="1" x14ac:dyDescent="0.25">
      <c r="A300" t="s">
        <v>189</v>
      </c>
      <c r="B300" t="s">
        <v>422</v>
      </c>
    </row>
    <row r="301" spans="1:4" hidden="1" x14ac:dyDescent="0.25">
      <c r="A301" t="s">
        <v>189</v>
      </c>
    </row>
    <row r="302" spans="1:4" x14ac:dyDescent="0.25">
      <c r="A302" t="s">
        <v>189</v>
      </c>
      <c r="B302">
        <v>3</v>
      </c>
      <c r="C302" t="s">
        <v>609</v>
      </c>
      <c r="D302" t="s">
        <v>610</v>
      </c>
    </row>
    <row r="303" spans="1:4" hidden="1" x14ac:dyDescent="0.25">
      <c r="A303" t="s">
        <v>189</v>
      </c>
      <c r="B303" t="s">
        <v>422</v>
      </c>
    </row>
    <row r="304" spans="1:4" hidden="1" x14ac:dyDescent="0.25">
      <c r="A304" t="s">
        <v>189</v>
      </c>
    </row>
    <row r="305" spans="1:6" x14ac:dyDescent="0.25">
      <c r="A305" t="s">
        <v>189</v>
      </c>
      <c r="B305">
        <v>2</v>
      </c>
      <c r="C305" t="s">
        <v>611</v>
      </c>
      <c r="D305" t="s">
        <v>612</v>
      </c>
    </row>
    <row r="306" spans="1:6" hidden="1" x14ac:dyDescent="0.25">
      <c r="A306" t="s">
        <v>189</v>
      </c>
      <c r="B306" t="s">
        <v>422</v>
      </c>
    </row>
    <row r="307" spans="1:6" hidden="1" x14ac:dyDescent="0.25">
      <c r="A307" t="s">
        <v>189</v>
      </c>
    </row>
    <row r="308" spans="1:6" x14ac:dyDescent="0.25">
      <c r="A308" t="s">
        <v>189</v>
      </c>
      <c r="B308">
        <v>1</v>
      </c>
      <c r="C308" t="s">
        <v>613</v>
      </c>
      <c r="D308" t="s">
        <v>614</v>
      </c>
    </row>
    <row r="309" spans="1:6" hidden="1" x14ac:dyDescent="0.25">
      <c r="B309" t="s">
        <v>422</v>
      </c>
    </row>
    <row r="310" spans="1:6" hidden="1" x14ac:dyDescent="0.25"/>
    <row r="311" spans="1:6" hidden="1" x14ac:dyDescent="0.25">
      <c r="B311" t="s">
        <v>173</v>
      </c>
    </row>
    <row r="312" spans="1:6" hidden="1" x14ac:dyDescent="0.25">
      <c r="B312" t="s">
        <v>415</v>
      </c>
      <c r="C312" t="s">
        <v>416</v>
      </c>
      <c r="D312" t="s">
        <v>417</v>
      </c>
      <c r="E312" t="s">
        <v>418</v>
      </c>
      <c r="F312" t="s">
        <v>419</v>
      </c>
    </row>
    <row r="313" spans="1:6" x14ac:dyDescent="0.25">
      <c r="A313" t="s">
        <v>173</v>
      </c>
      <c r="B313">
        <v>13</v>
      </c>
      <c r="C313" t="s">
        <v>615</v>
      </c>
      <c r="D313" t="s">
        <v>616</v>
      </c>
    </row>
    <row r="314" spans="1:6" hidden="1" x14ac:dyDescent="0.25">
      <c r="A314" t="s">
        <v>173</v>
      </c>
      <c r="B314" t="s">
        <v>422</v>
      </c>
    </row>
    <row r="315" spans="1:6" hidden="1" x14ac:dyDescent="0.25">
      <c r="A315" t="s">
        <v>173</v>
      </c>
    </row>
    <row r="316" spans="1:6" x14ac:dyDescent="0.25">
      <c r="A316" t="s">
        <v>173</v>
      </c>
      <c r="B316">
        <v>12</v>
      </c>
      <c r="C316" t="s">
        <v>617</v>
      </c>
      <c r="D316" t="s">
        <v>618</v>
      </c>
    </row>
    <row r="317" spans="1:6" hidden="1" x14ac:dyDescent="0.25">
      <c r="A317" t="s">
        <v>173</v>
      </c>
      <c r="B317" t="s">
        <v>422</v>
      </c>
    </row>
    <row r="318" spans="1:6" hidden="1" x14ac:dyDescent="0.25">
      <c r="A318" t="s">
        <v>173</v>
      </c>
    </row>
    <row r="319" spans="1:6" x14ac:dyDescent="0.25">
      <c r="A319" t="s">
        <v>173</v>
      </c>
      <c r="B319">
        <v>11</v>
      </c>
      <c r="C319" t="s">
        <v>619</v>
      </c>
      <c r="D319" t="s">
        <v>620</v>
      </c>
    </row>
    <row r="320" spans="1:6" hidden="1" x14ac:dyDescent="0.25">
      <c r="A320" t="s">
        <v>173</v>
      </c>
      <c r="B320" t="s">
        <v>422</v>
      </c>
    </row>
    <row r="321" spans="1:4" hidden="1" x14ac:dyDescent="0.25">
      <c r="A321" t="s">
        <v>173</v>
      </c>
    </row>
    <row r="322" spans="1:4" x14ac:dyDescent="0.25">
      <c r="A322" t="s">
        <v>173</v>
      </c>
      <c r="B322">
        <v>10</v>
      </c>
      <c r="C322" t="s">
        <v>621</v>
      </c>
      <c r="D322" t="s">
        <v>622</v>
      </c>
    </row>
    <row r="323" spans="1:4" hidden="1" x14ac:dyDescent="0.25">
      <c r="A323" t="s">
        <v>173</v>
      </c>
      <c r="B323" t="s">
        <v>422</v>
      </c>
    </row>
    <row r="324" spans="1:4" hidden="1" x14ac:dyDescent="0.25">
      <c r="A324" t="s">
        <v>173</v>
      </c>
    </row>
    <row r="325" spans="1:4" x14ac:dyDescent="0.25">
      <c r="A325" t="s">
        <v>173</v>
      </c>
      <c r="B325">
        <v>9</v>
      </c>
      <c r="C325" t="s">
        <v>623</v>
      </c>
      <c r="D325" t="s">
        <v>624</v>
      </c>
    </row>
    <row r="326" spans="1:4" hidden="1" x14ac:dyDescent="0.25">
      <c r="A326" t="s">
        <v>173</v>
      </c>
      <c r="B326" t="s">
        <v>422</v>
      </c>
    </row>
    <row r="327" spans="1:4" hidden="1" x14ac:dyDescent="0.25">
      <c r="A327" t="s">
        <v>173</v>
      </c>
    </row>
    <row r="328" spans="1:4" x14ac:dyDescent="0.25">
      <c r="A328" t="s">
        <v>173</v>
      </c>
      <c r="B328">
        <v>8</v>
      </c>
      <c r="C328" t="s">
        <v>625</v>
      </c>
      <c r="D328" t="s">
        <v>626</v>
      </c>
    </row>
    <row r="329" spans="1:4" hidden="1" x14ac:dyDescent="0.25">
      <c r="A329" t="s">
        <v>173</v>
      </c>
      <c r="B329" t="s">
        <v>422</v>
      </c>
    </row>
    <row r="330" spans="1:4" hidden="1" x14ac:dyDescent="0.25">
      <c r="A330" t="s">
        <v>173</v>
      </c>
    </row>
    <row r="331" spans="1:4" x14ac:dyDescent="0.25">
      <c r="A331" t="s">
        <v>173</v>
      </c>
      <c r="B331">
        <v>7</v>
      </c>
      <c r="C331" t="s">
        <v>627</v>
      </c>
      <c r="D331" t="s">
        <v>628</v>
      </c>
    </row>
    <row r="332" spans="1:4" hidden="1" x14ac:dyDescent="0.25">
      <c r="A332" t="s">
        <v>173</v>
      </c>
      <c r="B332" t="s">
        <v>422</v>
      </c>
    </row>
    <row r="333" spans="1:4" hidden="1" x14ac:dyDescent="0.25">
      <c r="A333" t="s">
        <v>173</v>
      </c>
    </row>
    <row r="334" spans="1:4" x14ac:dyDescent="0.25">
      <c r="A334" t="s">
        <v>173</v>
      </c>
      <c r="B334">
        <v>6</v>
      </c>
      <c r="C334" t="s">
        <v>629</v>
      </c>
      <c r="D334" t="s">
        <v>630</v>
      </c>
    </row>
    <row r="335" spans="1:4" hidden="1" x14ac:dyDescent="0.25">
      <c r="A335" t="s">
        <v>173</v>
      </c>
      <c r="B335" t="s">
        <v>422</v>
      </c>
    </row>
    <row r="336" spans="1:4" hidden="1" x14ac:dyDescent="0.25">
      <c r="A336" t="s">
        <v>173</v>
      </c>
    </row>
    <row r="337" spans="1:4" x14ac:dyDescent="0.25">
      <c r="A337" t="s">
        <v>173</v>
      </c>
      <c r="B337">
        <v>5</v>
      </c>
      <c r="C337" t="s">
        <v>631</v>
      </c>
      <c r="D337" t="s">
        <v>632</v>
      </c>
    </row>
    <row r="338" spans="1:4" hidden="1" x14ac:dyDescent="0.25">
      <c r="A338" t="s">
        <v>173</v>
      </c>
      <c r="B338" t="s">
        <v>422</v>
      </c>
    </row>
    <row r="339" spans="1:4" hidden="1" x14ac:dyDescent="0.25">
      <c r="A339" t="s">
        <v>173</v>
      </c>
    </row>
    <row r="340" spans="1:4" x14ac:dyDescent="0.25">
      <c r="A340" t="s">
        <v>173</v>
      </c>
      <c r="B340">
        <v>4</v>
      </c>
      <c r="C340" t="s">
        <v>633</v>
      </c>
      <c r="D340" t="s">
        <v>634</v>
      </c>
    </row>
    <row r="341" spans="1:4" hidden="1" x14ac:dyDescent="0.25">
      <c r="A341" t="s">
        <v>173</v>
      </c>
      <c r="B341" t="s">
        <v>422</v>
      </c>
    </row>
    <row r="342" spans="1:4" hidden="1" x14ac:dyDescent="0.25">
      <c r="A342" t="s">
        <v>173</v>
      </c>
    </row>
    <row r="343" spans="1:4" x14ac:dyDescent="0.25">
      <c r="A343" t="s">
        <v>173</v>
      </c>
      <c r="B343">
        <v>3</v>
      </c>
      <c r="C343" t="s">
        <v>635</v>
      </c>
      <c r="D343" t="s">
        <v>636</v>
      </c>
    </row>
    <row r="344" spans="1:4" hidden="1" x14ac:dyDescent="0.25">
      <c r="A344" t="s">
        <v>173</v>
      </c>
      <c r="B344" t="s">
        <v>422</v>
      </c>
    </row>
    <row r="345" spans="1:4" hidden="1" x14ac:dyDescent="0.25">
      <c r="A345" t="s">
        <v>173</v>
      </c>
    </row>
    <row r="346" spans="1:4" x14ac:dyDescent="0.25">
      <c r="A346" t="s">
        <v>173</v>
      </c>
      <c r="B346">
        <v>2</v>
      </c>
      <c r="C346" t="s">
        <v>637</v>
      </c>
      <c r="D346" t="s">
        <v>638</v>
      </c>
    </row>
    <row r="347" spans="1:4" hidden="1" x14ac:dyDescent="0.25">
      <c r="A347" t="s">
        <v>173</v>
      </c>
      <c r="B347" t="s">
        <v>422</v>
      </c>
    </row>
    <row r="348" spans="1:4" hidden="1" x14ac:dyDescent="0.25">
      <c r="A348" t="s">
        <v>173</v>
      </c>
    </row>
    <row r="349" spans="1:4" x14ac:dyDescent="0.25">
      <c r="A349" t="s">
        <v>173</v>
      </c>
      <c r="B349">
        <v>1</v>
      </c>
      <c r="C349" t="s">
        <v>639</v>
      </c>
      <c r="D349" t="s">
        <v>640</v>
      </c>
    </row>
    <row r="350" spans="1:4" hidden="1" x14ac:dyDescent="0.25">
      <c r="B350" t="s">
        <v>422</v>
      </c>
    </row>
    <row r="351" spans="1:4" hidden="1" x14ac:dyDescent="0.25"/>
    <row r="352" spans="1:4" hidden="1" x14ac:dyDescent="0.25">
      <c r="B352" t="s">
        <v>158</v>
      </c>
    </row>
    <row r="353" spans="1:6" hidden="1" x14ac:dyDescent="0.25">
      <c r="B353" t="s">
        <v>415</v>
      </c>
      <c r="C353" t="s">
        <v>416</v>
      </c>
      <c r="D353" t="s">
        <v>417</v>
      </c>
      <c r="E353" t="s">
        <v>418</v>
      </c>
      <c r="F353" t="s">
        <v>419</v>
      </c>
    </row>
    <row r="354" spans="1:6" x14ac:dyDescent="0.25">
      <c r="A354" t="s">
        <v>158</v>
      </c>
      <c r="B354">
        <v>12</v>
      </c>
      <c r="C354" t="s">
        <v>641</v>
      </c>
      <c r="D354" t="s">
        <v>642</v>
      </c>
    </row>
    <row r="355" spans="1:6" hidden="1" x14ac:dyDescent="0.25">
      <c r="A355" t="s">
        <v>158</v>
      </c>
      <c r="B355" t="s">
        <v>422</v>
      </c>
    </row>
    <row r="356" spans="1:6" hidden="1" x14ac:dyDescent="0.25">
      <c r="A356" t="s">
        <v>158</v>
      </c>
    </row>
    <row r="357" spans="1:6" x14ac:dyDescent="0.25">
      <c r="A357" t="s">
        <v>158</v>
      </c>
      <c r="B357">
        <v>11</v>
      </c>
      <c r="C357" t="s">
        <v>643</v>
      </c>
      <c r="D357" t="s">
        <v>644</v>
      </c>
    </row>
    <row r="358" spans="1:6" hidden="1" x14ac:dyDescent="0.25">
      <c r="A358" t="s">
        <v>158</v>
      </c>
      <c r="B358" t="s">
        <v>422</v>
      </c>
    </row>
    <row r="359" spans="1:6" hidden="1" x14ac:dyDescent="0.25">
      <c r="A359" t="s">
        <v>158</v>
      </c>
    </row>
    <row r="360" spans="1:6" x14ac:dyDescent="0.25">
      <c r="A360" t="s">
        <v>158</v>
      </c>
      <c r="B360">
        <v>10</v>
      </c>
      <c r="C360" t="s">
        <v>645</v>
      </c>
      <c r="D360" t="s">
        <v>646</v>
      </c>
    </row>
    <row r="361" spans="1:6" hidden="1" x14ac:dyDescent="0.25">
      <c r="A361" t="s">
        <v>158</v>
      </c>
      <c r="B361" t="s">
        <v>422</v>
      </c>
    </row>
    <row r="362" spans="1:6" hidden="1" x14ac:dyDescent="0.25">
      <c r="A362" t="s">
        <v>158</v>
      </c>
    </row>
    <row r="363" spans="1:6" x14ac:dyDescent="0.25">
      <c r="A363" t="s">
        <v>158</v>
      </c>
      <c r="B363">
        <v>9</v>
      </c>
      <c r="C363" t="s">
        <v>647</v>
      </c>
      <c r="D363" t="s">
        <v>648</v>
      </c>
    </row>
    <row r="364" spans="1:6" hidden="1" x14ac:dyDescent="0.25">
      <c r="A364" t="s">
        <v>158</v>
      </c>
      <c r="B364" t="s">
        <v>422</v>
      </c>
    </row>
    <row r="365" spans="1:6" hidden="1" x14ac:dyDescent="0.25">
      <c r="A365" t="s">
        <v>158</v>
      </c>
    </row>
    <row r="366" spans="1:6" x14ac:dyDescent="0.25">
      <c r="A366" t="s">
        <v>158</v>
      </c>
      <c r="B366">
        <v>8</v>
      </c>
      <c r="C366" t="s">
        <v>649</v>
      </c>
      <c r="D366" t="s">
        <v>650</v>
      </c>
    </row>
    <row r="367" spans="1:6" hidden="1" x14ac:dyDescent="0.25">
      <c r="A367" t="s">
        <v>158</v>
      </c>
      <c r="B367" t="s">
        <v>422</v>
      </c>
    </row>
    <row r="368" spans="1:6" hidden="1" x14ac:dyDescent="0.25">
      <c r="A368" t="s">
        <v>158</v>
      </c>
    </row>
    <row r="369" spans="1:4" x14ac:dyDescent="0.25">
      <c r="A369" t="s">
        <v>158</v>
      </c>
      <c r="B369">
        <v>7</v>
      </c>
      <c r="C369" t="s">
        <v>651</v>
      </c>
      <c r="D369" t="s">
        <v>652</v>
      </c>
    </row>
    <row r="370" spans="1:4" hidden="1" x14ac:dyDescent="0.25">
      <c r="A370" t="s">
        <v>158</v>
      </c>
      <c r="B370" t="s">
        <v>422</v>
      </c>
    </row>
    <row r="371" spans="1:4" hidden="1" x14ac:dyDescent="0.25">
      <c r="A371" t="s">
        <v>158</v>
      </c>
    </row>
    <row r="372" spans="1:4" x14ac:dyDescent="0.25">
      <c r="A372" t="s">
        <v>158</v>
      </c>
      <c r="B372">
        <v>6</v>
      </c>
      <c r="C372" t="s">
        <v>653</v>
      </c>
      <c r="D372" t="s">
        <v>654</v>
      </c>
    </row>
    <row r="373" spans="1:4" hidden="1" x14ac:dyDescent="0.25">
      <c r="A373" t="s">
        <v>158</v>
      </c>
      <c r="B373" t="s">
        <v>422</v>
      </c>
    </row>
    <row r="374" spans="1:4" hidden="1" x14ac:dyDescent="0.25">
      <c r="A374" t="s">
        <v>158</v>
      </c>
    </row>
    <row r="375" spans="1:4" x14ac:dyDescent="0.25">
      <c r="A375" t="s">
        <v>158</v>
      </c>
      <c r="B375">
        <v>5</v>
      </c>
      <c r="C375" t="s">
        <v>655</v>
      </c>
      <c r="D375" t="s">
        <v>656</v>
      </c>
    </row>
    <row r="376" spans="1:4" hidden="1" x14ac:dyDescent="0.25">
      <c r="A376" t="s">
        <v>158</v>
      </c>
      <c r="B376" t="s">
        <v>422</v>
      </c>
    </row>
    <row r="377" spans="1:4" hidden="1" x14ac:dyDescent="0.25">
      <c r="A377" t="s">
        <v>158</v>
      </c>
    </row>
    <row r="378" spans="1:4" x14ac:dyDescent="0.25">
      <c r="A378" t="s">
        <v>158</v>
      </c>
      <c r="B378">
        <v>4</v>
      </c>
      <c r="C378" t="s">
        <v>657</v>
      </c>
      <c r="D378" t="s">
        <v>658</v>
      </c>
    </row>
    <row r="379" spans="1:4" hidden="1" x14ac:dyDescent="0.25">
      <c r="A379" t="s">
        <v>158</v>
      </c>
      <c r="B379" t="s">
        <v>422</v>
      </c>
    </row>
    <row r="380" spans="1:4" hidden="1" x14ac:dyDescent="0.25">
      <c r="A380" t="s">
        <v>158</v>
      </c>
    </row>
    <row r="381" spans="1:4" x14ac:dyDescent="0.25">
      <c r="A381" t="s">
        <v>158</v>
      </c>
      <c r="B381">
        <v>3</v>
      </c>
      <c r="C381" t="s">
        <v>659</v>
      </c>
      <c r="D381" t="s">
        <v>660</v>
      </c>
    </row>
    <row r="382" spans="1:4" hidden="1" x14ac:dyDescent="0.25">
      <c r="A382" t="s">
        <v>158</v>
      </c>
      <c r="B382" t="s">
        <v>422</v>
      </c>
    </row>
    <row r="383" spans="1:4" hidden="1" x14ac:dyDescent="0.25">
      <c r="A383" t="s">
        <v>158</v>
      </c>
    </row>
    <row r="384" spans="1:4" x14ac:dyDescent="0.25">
      <c r="A384" t="s">
        <v>158</v>
      </c>
      <c r="B384">
        <v>2</v>
      </c>
      <c r="C384" t="s">
        <v>661</v>
      </c>
      <c r="D384" t="s">
        <v>662</v>
      </c>
    </row>
    <row r="385" spans="1:6" hidden="1" x14ac:dyDescent="0.25">
      <c r="A385" t="s">
        <v>158</v>
      </c>
      <c r="B385" t="s">
        <v>422</v>
      </c>
    </row>
    <row r="386" spans="1:6" hidden="1" x14ac:dyDescent="0.25">
      <c r="A386" t="s">
        <v>158</v>
      </c>
    </row>
    <row r="387" spans="1:6" x14ac:dyDescent="0.25">
      <c r="A387" t="s">
        <v>158</v>
      </c>
      <c r="B387">
        <v>1</v>
      </c>
      <c r="C387" t="s">
        <v>663</v>
      </c>
      <c r="D387" t="s">
        <v>664</v>
      </c>
    </row>
    <row r="388" spans="1:6" hidden="1" x14ac:dyDescent="0.25">
      <c r="B388" t="s">
        <v>422</v>
      </c>
    </row>
    <row r="389" spans="1:6" hidden="1" x14ac:dyDescent="0.25"/>
    <row r="390" spans="1:6" hidden="1" x14ac:dyDescent="0.25">
      <c r="B390" t="s">
        <v>137</v>
      </c>
    </row>
    <row r="391" spans="1:6" hidden="1" x14ac:dyDescent="0.25">
      <c r="B391" t="s">
        <v>415</v>
      </c>
      <c r="C391" t="s">
        <v>416</v>
      </c>
      <c r="D391" t="s">
        <v>417</v>
      </c>
      <c r="E391" t="s">
        <v>418</v>
      </c>
      <c r="F391" t="s">
        <v>419</v>
      </c>
    </row>
    <row r="392" spans="1:6" x14ac:dyDescent="0.25">
      <c r="A392" t="s">
        <v>137</v>
      </c>
      <c r="B392">
        <v>12</v>
      </c>
      <c r="C392" t="s">
        <v>665</v>
      </c>
      <c r="D392" t="s">
        <v>666</v>
      </c>
    </row>
    <row r="393" spans="1:6" hidden="1" x14ac:dyDescent="0.25">
      <c r="A393" t="s">
        <v>137</v>
      </c>
      <c r="B393" t="s">
        <v>422</v>
      </c>
    </row>
    <row r="394" spans="1:6" hidden="1" x14ac:dyDescent="0.25">
      <c r="A394" t="s">
        <v>137</v>
      </c>
    </row>
    <row r="395" spans="1:6" x14ac:dyDescent="0.25">
      <c r="A395" t="s">
        <v>137</v>
      </c>
      <c r="B395">
        <v>11</v>
      </c>
      <c r="C395" t="s">
        <v>667</v>
      </c>
      <c r="D395" t="s">
        <v>668</v>
      </c>
    </row>
    <row r="396" spans="1:6" hidden="1" x14ac:dyDescent="0.25">
      <c r="A396" t="s">
        <v>137</v>
      </c>
      <c r="B396" t="s">
        <v>422</v>
      </c>
    </row>
    <row r="397" spans="1:6" hidden="1" x14ac:dyDescent="0.25">
      <c r="A397" t="s">
        <v>137</v>
      </c>
    </row>
    <row r="398" spans="1:6" x14ac:dyDescent="0.25">
      <c r="A398" t="s">
        <v>137</v>
      </c>
      <c r="B398">
        <v>10</v>
      </c>
      <c r="C398" t="s">
        <v>669</v>
      </c>
      <c r="D398" t="s">
        <v>670</v>
      </c>
    </row>
    <row r="399" spans="1:6" hidden="1" x14ac:dyDescent="0.25">
      <c r="A399" t="s">
        <v>137</v>
      </c>
      <c r="B399" t="s">
        <v>422</v>
      </c>
    </row>
    <row r="400" spans="1:6" hidden="1" x14ac:dyDescent="0.25">
      <c r="A400" t="s">
        <v>137</v>
      </c>
    </row>
    <row r="401" spans="1:4" x14ac:dyDescent="0.25">
      <c r="A401" t="s">
        <v>137</v>
      </c>
      <c r="B401">
        <v>9</v>
      </c>
      <c r="C401" t="s">
        <v>671</v>
      </c>
      <c r="D401" t="s">
        <v>672</v>
      </c>
    </row>
    <row r="402" spans="1:4" hidden="1" x14ac:dyDescent="0.25">
      <c r="A402" t="s">
        <v>137</v>
      </c>
      <c r="B402" t="s">
        <v>422</v>
      </c>
    </row>
    <row r="403" spans="1:4" hidden="1" x14ac:dyDescent="0.25">
      <c r="A403" t="s">
        <v>137</v>
      </c>
    </row>
    <row r="404" spans="1:4" x14ac:dyDescent="0.25">
      <c r="A404" t="s">
        <v>137</v>
      </c>
      <c r="B404">
        <v>8</v>
      </c>
      <c r="C404" t="s">
        <v>673</v>
      </c>
      <c r="D404" t="s">
        <v>674</v>
      </c>
    </row>
    <row r="405" spans="1:4" hidden="1" x14ac:dyDescent="0.25">
      <c r="A405" t="s">
        <v>137</v>
      </c>
      <c r="B405" t="s">
        <v>422</v>
      </c>
    </row>
    <row r="406" spans="1:4" hidden="1" x14ac:dyDescent="0.25">
      <c r="A406" t="s">
        <v>137</v>
      </c>
    </row>
    <row r="407" spans="1:4" x14ac:dyDescent="0.25">
      <c r="A407" t="s">
        <v>137</v>
      </c>
      <c r="B407">
        <v>7</v>
      </c>
      <c r="C407" t="s">
        <v>675</v>
      </c>
      <c r="D407" t="s">
        <v>676</v>
      </c>
    </row>
    <row r="408" spans="1:4" hidden="1" x14ac:dyDescent="0.25">
      <c r="A408" t="s">
        <v>137</v>
      </c>
      <c r="B408" t="s">
        <v>422</v>
      </c>
    </row>
    <row r="409" spans="1:4" hidden="1" x14ac:dyDescent="0.25">
      <c r="A409" t="s">
        <v>137</v>
      </c>
    </row>
    <row r="410" spans="1:4" x14ac:dyDescent="0.25">
      <c r="A410" t="s">
        <v>137</v>
      </c>
      <c r="B410">
        <v>6</v>
      </c>
      <c r="C410" t="s">
        <v>677</v>
      </c>
      <c r="D410" t="s">
        <v>678</v>
      </c>
    </row>
    <row r="411" spans="1:4" hidden="1" x14ac:dyDescent="0.25">
      <c r="A411" t="s">
        <v>137</v>
      </c>
      <c r="B411" t="s">
        <v>422</v>
      </c>
    </row>
    <row r="412" spans="1:4" hidden="1" x14ac:dyDescent="0.25">
      <c r="A412" t="s">
        <v>137</v>
      </c>
    </row>
    <row r="413" spans="1:4" x14ac:dyDescent="0.25">
      <c r="A413" t="s">
        <v>137</v>
      </c>
      <c r="B413">
        <v>5</v>
      </c>
      <c r="C413" t="s">
        <v>679</v>
      </c>
      <c r="D413" t="s">
        <v>680</v>
      </c>
    </row>
    <row r="414" spans="1:4" hidden="1" x14ac:dyDescent="0.25">
      <c r="A414" t="s">
        <v>137</v>
      </c>
      <c r="B414" t="s">
        <v>422</v>
      </c>
    </row>
    <row r="415" spans="1:4" hidden="1" x14ac:dyDescent="0.25">
      <c r="A415" t="s">
        <v>137</v>
      </c>
    </row>
    <row r="416" spans="1:4" x14ac:dyDescent="0.25">
      <c r="A416" t="s">
        <v>137</v>
      </c>
      <c r="B416">
        <v>4</v>
      </c>
      <c r="C416" t="s">
        <v>681</v>
      </c>
      <c r="D416" t="s">
        <v>682</v>
      </c>
    </row>
    <row r="417" spans="1:6" hidden="1" x14ac:dyDescent="0.25">
      <c r="A417" t="s">
        <v>137</v>
      </c>
      <c r="B417" t="s">
        <v>422</v>
      </c>
    </row>
    <row r="418" spans="1:6" hidden="1" x14ac:dyDescent="0.25">
      <c r="A418" t="s">
        <v>137</v>
      </c>
    </row>
    <row r="419" spans="1:6" x14ac:dyDescent="0.25">
      <c r="A419" t="s">
        <v>137</v>
      </c>
      <c r="B419">
        <v>3</v>
      </c>
      <c r="C419" t="s">
        <v>683</v>
      </c>
      <c r="D419" t="s">
        <v>684</v>
      </c>
    </row>
    <row r="420" spans="1:6" hidden="1" x14ac:dyDescent="0.25">
      <c r="A420" t="s">
        <v>137</v>
      </c>
      <c r="B420" t="s">
        <v>422</v>
      </c>
    </row>
    <row r="421" spans="1:6" hidden="1" x14ac:dyDescent="0.25">
      <c r="A421" t="s">
        <v>137</v>
      </c>
    </row>
    <row r="422" spans="1:6" x14ac:dyDescent="0.25">
      <c r="A422" t="s">
        <v>137</v>
      </c>
      <c r="B422">
        <v>2</v>
      </c>
      <c r="C422" t="s">
        <v>685</v>
      </c>
      <c r="D422" t="s">
        <v>686</v>
      </c>
    </row>
    <row r="423" spans="1:6" hidden="1" x14ac:dyDescent="0.25">
      <c r="A423" t="s">
        <v>137</v>
      </c>
      <c r="B423" t="s">
        <v>422</v>
      </c>
    </row>
    <row r="424" spans="1:6" hidden="1" x14ac:dyDescent="0.25">
      <c r="A424" t="s">
        <v>137</v>
      </c>
    </row>
    <row r="425" spans="1:6" x14ac:dyDescent="0.25">
      <c r="A425" t="s">
        <v>137</v>
      </c>
      <c r="B425">
        <v>1</v>
      </c>
      <c r="C425" t="s">
        <v>687</v>
      </c>
      <c r="D425" t="s">
        <v>688</v>
      </c>
    </row>
    <row r="426" spans="1:6" hidden="1" x14ac:dyDescent="0.25">
      <c r="B426" t="s">
        <v>422</v>
      </c>
    </row>
    <row r="427" spans="1:6" hidden="1" x14ac:dyDescent="0.25"/>
    <row r="428" spans="1:6" hidden="1" x14ac:dyDescent="0.25">
      <c r="B428" t="s">
        <v>124</v>
      </c>
    </row>
    <row r="429" spans="1:6" hidden="1" x14ac:dyDescent="0.25">
      <c r="A429" t="s">
        <v>124</v>
      </c>
      <c r="B429" t="s">
        <v>415</v>
      </c>
      <c r="C429" t="s">
        <v>416</v>
      </c>
      <c r="D429" t="s">
        <v>417</v>
      </c>
      <c r="E429" t="s">
        <v>418</v>
      </c>
      <c r="F429" t="s">
        <v>419</v>
      </c>
    </row>
    <row r="430" spans="1:6" x14ac:dyDescent="0.25">
      <c r="A430" t="s">
        <v>124</v>
      </c>
      <c r="B430">
        <v>8</v>
      </c>
      <c r="C430" t="s">
        <v>689</v>
      </c>
      <c r="D430" t="s">
        <v>690</v>
      </c>
    </row>
    <row r="431" spans="1:6" hidden="1" x14ac:dyDescent="0.25">
      <c r="A431" t="s">
        <v>124</v>
      </c>
      <c r="B431" t="s">
        <v>422</v>
      </c>
    </row>
    <row r="432" spans="1:6" hidden="1" x14ac:dyDescent="0.25">
      <c r="A432" t="s">
        <v>124</v>
      </c>
    </row>
    <row r="433" spans="1:4" x14ac:dyDescent="0.25">
      <c r="A433" t="s">
        <v>124</v>
      </c>
      <c r="B433">
        <v>7</v>
      </c>
      <c r="C433" t="s">
        <v>691</v>
      </c>
      <c r="D433" t="s">
        <v>692</v>
      </c>
    </row>
    <row r="434" spans="1:4" hidden="1" x14ac:dyDescent="0.25">
      <c r="A434" t="s">
        <v>124</v>
      </c>
      <c r="B434" t="s">
        <v>422</v>
      </c>
    </row>
    <row r="435" spans="1:4" hidden="1" x14ac:dyDescent="0.25">
      <c r="A435" t="s">
        <v>124</v>
      </c>
    </row>
    <row r="436" spans="1:4" x14ac:dyDescent="0.25">
      <c r="A436" t="s">
        <v>124</v>
      </c>
      <c r="B436">
        <v>6</v>
      </c>
      <c r="C436" t="s">
        <v>693</v>
      </c>
      <c r="D436" t="s">
        <v>694</v>
      </c>
    </row>
    <row r="437" spans="1:4" hidden="1" x14ac:dyDescent="0.25">
      <c r="A437" t="s">
        <v>124</v>
      </c>
      <c r="B437" t="s">
        <v>422</v>
      </c>
    </row>
    <row r="438" spans="1:4" hidden="1" x14ac:dyDescent="0.25">
      <c r="A438" t="s">
        <v>124</v>
      </c>
    </row>
    <row r="439" spans="1:4" x14ac:dyDescent="0.25">
      <c r="A439" t="s">
        <v>124</v>
      </c>
      <c r="B439">
        <v>5</v>
      </c>
      <c r="C439" t="s">
        <v>695</v>
      </c>
      <c r="D439" t="s">
        <v>696</v>
      </c>
    </row>
    <row r="440" spans="1:4" hidden="1" x14ac:dyDescent="0.25">
      <c r="A440" t="s">
        <v>124</v>
      </c>
      <c r="B440" t="s">
        <v>422</v>
      </c>
    </row>
    <row r="441" spans="1:4" hidden="1" x14ac:dyDescent="0.25">
      <c r="A441" t="s">
        <v>124</v>
      </c>
    </row>
    <row r="442" spans="1:4" x14ac:dyDescent="0.25">
      <c r="A442" t="s">
        <v>124</v>
      </c>
      <c r="B442">
        <v>4</v>
      </c>
      <c r="C442" t="s">
        <v>697</v>
      </c>
      <c r="D442" t="s">
        <v>698</v>
      </c>
    </row>
    <row r="443" spans="1:4" hidden="1" x14ac:dyDescent="0.25">
      <c r="A443" t="s">
        <v>124</v>
      </c>
      <c r="B443" t="s">
        <v>422</v>
      </c>
    </row>
    <row r="444" spans="1:4" hidden="1" x14ac:dyDescent="0.25">
      <c r="A444" t="s">
        <v>124</v>
      </c>
    </row>
    <row r="445" spans="1:4" x14ac:dyDescent="0.25">
      <c r="A445" t="s">
        <v>124</v>
      </c>
      <c r="B445">
        <v>3</v>
      </c>
      <c r="C445" t="s">
        <v>699</v>
      </c>
      <c r="D445" t="s">
        <v>700</v>
      </c>
    </row>
    <row r="446" spans="1:4" hidden="1" x14ac:dyDescent="0.25">
      <c r="A446" t="s">
        <v>124</v>
      </c>
      <c r="B446" t="s">
        <v>422</v>
      </c>
    </row>
    <row r="447" spans="1:4" hidden="1" x14ac:dyDescent="0.25">
      <c r="A447" t="s">
        <v>124</v>
      </c>
    </row>
    <row r="448" spans="1:4" x14ac:dyDescent="0.25">
      <c r="A448" t="s">
        <v>124</v>
      </c>
      <c r="B448">
        <v>2</v>
      </c>
      <c r="C448" t="s">
        <v>701</v>
      </c>
      <c r="D448" t="s">
        <v>702</v>
      </c>
    </row>
    <row r="449" spans="1:6" hidden="1" x14ac:dyDescent="0.25">
      <c r="A449" t="s">
        <v>124</v>
      </c>
      <c r="B449" t="s">
        <v>422</v>
      </c>
    </row>
    <row r="450" spans="1:6" hidden="1" x14ac:dyDescent="0.25">
      <c r="A450" t="s">
        <v>124</v>
      </c>
    </row>
    <row r="451" spans="1:6" x14ac:dyDescent="0.25">
      <c r="A451" t="s">
        <v>124</v>
      </c>
      <c r="B451">
        <v>1</v>
      </c>
      <c r="C451" t="s">
        <v>703</v>
      </c>
      <c r="D451" t="s">
        <v>704</v>
      </c>
    </row>
    <row r="452" spans="1:6" hidden="1" x14ac:dyDescent="0.25">
      <c r="B452" t="s">
        <v>422</v>
      </c>
    </row>
    <row r="453" spans="1:6" hidden="1" x14ac:dyDescent="0.25"/>
    <row r="454" spans="1:6" hidden="1" x14ac:dyDescent="0.25">
      <c r="B454" t="s">
        <v>105</v>
      </c>
    </row>
    <row r="455" spans="1:6" hidden="1" x14ac:dyDescent="0.25">
      <c r="B455" t="s">
        <v>415</v>
      </c>
      <c r="C455" t="s">
        <v>416</v>
      </c>
      <c r="D455" t="s">
        <v>417</v>
      </c>
      <c r="E455" t="s">
        <v>418</v>
      </c>
      <c r="F455" t="s">
        <v>419</v>
      </c>
    </row>
    <row r="456" spans="1:6" x14ac:dyDescent="0.25">
      <c r="A456" t="s">
        <v>105</v>
      </c>
      <c r="B456">
        <v>11</v>
      </c>
      <c r="C456" t="s">
        <v>705</v>
      </c>
      <c r="D456" t="s">
        <v>706</v>
      </c>
    </row>
    <row r="457" spans="1:6" hidden="1" x14ac:dyDescent="0.25">
      <c r="A457" t="s">
        <v>105</v>
      </c>
      <c r="B457" t="s">
        <v>422</v>
      </c>
    </row>
    <row r="458" spans="1:6" hidden="1" x14ac:dyDescent="0.25">
      <c r="A458" t="s">
        <v>105</v>
      </c>
    </row>
    <row r="459" spans="1:6" x14ac:dyDescent="0.25">
      <c r="A459" t="s">
        <v>105</v>
      </c>
      <c r="B459">
        <v>10</v>
      </c>
      <c r="C459" t="s">
        <v>707</v>
      </c>
      <c r="D459" t="s">
        <v>708</v>
      </c>
    </row>
    <row r="460" spans="1:6" hidden="1" x14ac:dyDescent="0.25">
      <c r="A460" t="s">
        <v>105</v>
      </c>
      <c r="B460" t="s">
        <v>422</v>
      </c>
    </row>
    <row r="461" spans="1:6" hidden="1" x14ac:dyDescent="0.25">
      <c r="A461" t="s">
        <v>105</v>
      </c>
    </row>
    <row r="462" spans="1:6" x14ac:dyDescent="0.25">
      <c r="A462" t="s">
        <v>105</v>
      </c>
      <c r="B462">
        <v>9</v>
      </c>
      <c r="C462" t="s">
        <v>709</v>
      </c>
      <c r="D462" t="s">
        <v>710</v>
      </c>
    </row>
    <row r="463" spans="1:6" hidden="1" x14ac:dyDescent="0.25">
      <c r="A463" t="s">
        <v>105</v>
      </c>
      <c r="B463" t="s">
        <v>422</v>
      </c>
    </row>
    <row r="464" spans="1:6" hidden="1" x14ac:dyDescent="0.25">
      <c r="A464" t="s">
        <v>105</v>
      </c>
    </row>
    <row r="465" spans="1:4" x14ac:dyDescent="0.25">
      <c r="A465" t="s">
        <v>105</v>
      </c>
      <c r="B465">
        <v>8</v>
      </c>
      <c r="C465" t="s">
        <v>711</v>
      </c>
      <c r="D465" t="s">
        <v>712</v>
      </c>
    </row>
    <row r="466" spans="1:4" hidden="1" x14ac:dyDescent="0.25">
      <c r="A466" t="s">
        <v>105</v>
      </c>
      <c r="B466" t="s">
        <v>422</v>
      </c>
    </row>
    <row r="467" spans="1:4" hidden="1" x14ac:dyDescent="0.25">
      <c r="A467" t="s">
        <v>105</v>
      </c>
    </row>
    <row r="468" spans="1:4" x14ac:dyDescent="0.25">
      <c r="A468" t="s">
        <v>105</v>
      </c>
      <c r="B468">
        <v>7</v>
      </c>
      <c r="C468" t="s">
        <v>713</v>
      </c>
      <c r="D468" t="s">
        <v>714</v>
      </c>
    </row>
    <row r="469" spans="1:4" hidden="1" x14ac:dyDescent="0.25">
      <c r="A469" t="s">
        <v>105</v>
      </c>
      <c r="B469" t="s">
        <v>422</v>
      </c>
    </row>
    <row r="470" spans="1:4" hidden="1" x14ac:dyDescent="0.25">
      <c r="A470" t="s">
        <v>105</v>
      </c>
    </row>
    <row r="471" spans="1:4" x14ac:dyDescent="0.25">
      <c r="A471" t="s">
        <v>105</v>
      </c>
      <c r="B471">
        <v>6</v>
      </c>
      <c r="C471" t="s">
        <v>715</v>
      </c>
      <c r="D471" t="s">
        <v>716</v>
      </c>
    </row>
    <row r="472" spans="1:4" hidden="1" x14ac:dyDescent="0.25">
      <c r="A472" t="s">
        <v>105</v>
      </c>
      <c r="B472" t="s">
        <v>422</v>
      </c>
    </row>
    <row r="473" spans="1:4" hidden="1" x14ac:dyDescent="0.25">
      <c r="A473" t="s">
        <v>105</v>
      </c>
    </row>
    <row r="474" spans="1:4" x14ac:dyDescent="0.25">
      <c r="A474" t="s">
        <v>105</v>
      </c>
      <c r="B474">
        <v>5</v>
      </c>
      <c r="C474" t="s">
        <v>717</v>
      </c>
      <c r="D474" t="s">
        <v>718</v>
      </c>
    </row>
    <row r="475" spans="1:4" hidden="1" x14ac:dyDescent="0.25">
      <c r="A475" t="s">
        <v>105</v>
      </c>
      <c r="B475" t="s">
        <v>422</v>
      </c>
    </row>
    <row r="476" spans="1:4" hidden="1" x14ac:dyDescent="0.25">
      <c r="A476" t="s">
        <v>105</v>
      </c>
    </row>
    <row r="477" spans="1:4" x14ac:dyDescent="0.25">
      <c r="A477" t="s">
        <v>105</v>
      </c>
      <c r="B477">
        <v>4</v>
      </c>
      <c r="C477" t="s">
        <v>719</v>
      </c>
      <c r="D477" t="s">
        <v>720</v>
      </c>
    </row>
    <row r="478" spans="1:4" hidden="1" x14ac:dyDescent="0.25">
      <c r="A478" t="s">
        <v>105</v>
      </c>
      <c r="B478" t="s">
        <v>422</v>
      </c>
    </row>
    <row r="479" spans="1:4" hidden="1" x14ac:dyDescent="0.25">
      <c r="A479" t="s">
        <v>105</v>
      </c>
    </row>
    <row r="480" spans="1:4" x14ac:dyDescent="0.25">
      <c r="A480" t="s">
        <v>105</v>
      </c>
      <c r="B480">
        <v>3</v>
      </c>
      <c r="C480" t="s">
        <v>721</v>
      </c>
      <c r="D480" t="s">
        <v>722</v>
      </c>
    </row>
    <row r="481" spans="1:6" hidden="1" x14ac:dyDescent="0.25">
      <c r="A481" t="s">
        <v>105</v>
      </c>
      <c r="B481" t="s">
        <v>422</v>
      </c>
    </row>
    <row r="482" spans="1:6" hidden="1" x14ac:dyDescent="0.25">
      <c r="A482" t="s">
        <v>105</v>
      </c>
    </row>
    <row r="483" spans="1:6" x14ac:dyDescent="0.25">
      <c r="A483" t="s">
        <v>105</v>
      </c>
      <c r="B483">
        <v>2</v>
      </c>
      <c r="C483" t="s">
        <v>723</v>
      </c>
      <c r="D483" t="s">
        <v>724</v>
      </c>
    </row>
    <row r="484" spans="1:6" hidden="1" x14ac:dyDescent="0.25">
      <c r="A484" t="s">
        <v>105</v>
      </c>
      <c r="B484" t="s">
        <v>422</v>
      </c>
    </row>
    <row r="485" spans="1:6" hidden="1" x14ac:dyDescent="0.25">
      <c r="A485" t="s">
        <v>105</v>
      </c>
    </row>
    <row r="486" spans="1:6" x14ac:dyDescent="0.25">
      <c r="A486" t="s">
        <v>105</v>
      </c>
      <c r="B486">
        <v>1</v>
      </c>
      <c r="C486" t="s">
        <v>725</v>
      </c>
      <c r="D486" t="s">
        <v>726</v>
      </c>
    </row>
    <row r="487" spans="1:6" hidden="1" x14ac:dyDescent="0.25">
      <c r="B487" t="s">
        <v>422</v>
      </c>
    </row>
    <row r="488" spans="1:6" hidden="1" x14ac:dyDescent="0.25"/>
    <row r="489" spans="1:6" hidden="1" x14ac:dyDescent="0.25">
      <c r="B489" t="s">
        <v>85</v>
      </c>
    </row>
    <row r="490" spans="1:6" hidden="1" x14ac:dyDescent="0.25">
      <c r="B490" t="s">
        <v>415</v>
      </c>
      <c r="C490" t="s">
        <v>416</v>
      </c>
      <c r="D490" t="s">
        <v>417</v>
      </c>
      <c r="E490" t="s">
        <v>418</v>
      </c>
      <c r="F490" t="s">
        <v>419</v>
      </c>
    </row>
    <row r="491" spans="1:6" x14ac:dyDescent="0.25">
      <c r="A491" t="s">
        <v>85</v>
      </c>
      <c r="B491">
        <v>8</v>
      </c>
      <c r="C491" t="s">
        <v>727</v>
      </c>
      <c r="D491" t="s">
        <v>728</v>
      </c>
    </row>
    <row r="492" spans="1:6" hidden="1" x14ac:dyDescent="0.25">
      <c r="A492" t="s">
        <v>85</v>
      </c>
      <c r="B492" t="s">
        <v>422</v>
      </c>
    </row>
    <row r="493" spans="1:6" hidden="1" x14ac:dyDescent="0.25">
      <c r="A493" t="s">
        <v>85</v>
      </c>
    </row>
    <row r="494" spans="1:6" x14ac:dyDescent="0.25">
      <c r="A494" t="s">
        <v>85</v>
      </c>
      <c r="B494">
        <v>7</v>
      </c>
      <c r="C494" t="s">
        <v>729</v>
      </c>
      <c r="D494" t="s">
        <v>730</v>
      </c>
    </row>
    <row r="495" spans="1:6" hidden="1" x14ac:dyDescent="0.25">
      <c r="A495" t="s">
        <v>85</v>
      </c>
      <c r="B495" t="s">
        <v>422</v>
      </c>
    </row>
    <row r="496" spans="1:6" hidden="1" x14ac:dyDescent="0.25">
      <c r="A496" t="s">
        <v>85</v>
      </c>
    </row>
    <row r="497" spans="1:4" x14ac:dyDescent="0.25">
      <c r="A497" t="s">
        <v>85</v>
      </c>
      <c r="B497">
        <v>6</v>
      </c>
      <c r="C497" t="s">
        <v>731</v>
      </c>
      <c r="D497" t="s">
        <v>732</v>
      </c>
    </row>
    <row r="498" spans="1:4" hidden="1" x14ac:dyDescent="0.25">
      <c r="A498" t="s">
        <v>85</v>
      </c>
      <c r="B498" t="s">
        <v>422</v>
      </c>
    </row>
    <row r="499" spans="1:4" hidden="1" x14ac:dyDescent="0.25">
      <c r="A499" t="s">
        <v>85</v>
      </c>
    </row>
    <row r="500" spans="1:4" x14ac:dyDescent="0.25">
      <c r="A500" t="s">
        <v>85</v>
      </c>
      <c r="B500">
        <v>5</v>
      </c>
      <c r="C500" t="s">
        <v>733</v>
      </c>
      <c r="D500" t="s">
        <v>734</v>
      </c>
    </row>
    <row r="501" spans="1:4" hidden="1" x14ac:dyDescent="0.25">
      <c r="A501" t="s">
        <v>85</v>
      </c>
      <c r="B501" t="s">
        <v>422</v>
      </c>
    </row>
    <row r="502" spans="1:4" hidden="1" x14ac:dyDescent="0.25">
      <c r="A502" t="s">
        <v>85</v>
      </c>
    </row>
    <row r="503" spans="1:4" x14ac:dyDescent="0.25">
      <c r="A503" t="s">
        <v>85</v>
      </c>
      <c r="B503">
        <v>4</v>
      </c>
      <c r="C503" t="s">
        <v>735</v>
      </c>
      <c r="D503" t="s">
        <v>736</v>
      </c>
    </row>
    <row r="504" spans="1:4" hidden="1" x14ac:dyDescent="0.25">
      <c r="A504" t="s">
        <v>85</v>
      </c>
      <c r="B504" t="s">
        <v>422</v>
      </c>
    </row>
    <row r="505" spans="1:4" hidden="1" x14ac:dyDescent="0.25">
      <c r="A505" t="s">
        <v>85</v>
      </c>
    </row>
    <row r="506" spans="1:4" x14ac:dyDescent="0.25">
      <c r="A506" t="s">
        <v>85</v>
      </c>
      <c r="B506">
        <v>3</v>
      </c>
      <c r="C506" t="s">
        <v>737</v>
      </c>
      <c r="D506" t="s">
        <v>738</v>
      </c>
    </row>
    <row r="507" spans="1:4" hidden="1" x14ac:dyDescent="0.25">
      <c r="A507" t="s">
        <v>85</v>
      </c>
      <c r="B507" t="s">
        <v>422</v>
      </c>
    </row>
    <row r="508" spans="1:4" hidden="1" x14ac:dyDescent="0.25">
      <c r="A508" t="s">
        <v>85</v>
      </c>
    </row>
    <row r="509" spans="1:4" x14ac:dyDescent="0.25">
      <c r="A509" t="s">
        <v>85</v>
      </c>
      <c r="B509">
        <v>2</v>
      </c>
      <c r="C509" t="s">
        <v>739</v>
      </c>
      <c r="D509" t="s">
        <v>740</v>
      </c>
    </row>
    <row r="510" spans="1:4" hidden="1" x14ac:dyDescent="0.25">
      <c r="A510" t="s">
        <v>85</v>
      </c>
      <c r="B510" t="s">
        <v>422</v>
      </c>
    </row>
    <row r="511" spans="1:4" hidden="1" x14ac:dyDescent="0.25">
      <c r="A511" t="s">
        <v>85</v>
      </c>
    </row>
    <row r="512" spans="1:4" x14ac:dyDescent="0.25">
      <c r="A512" t="s">
        <v>85</v>
      </c>
      <c r="B512">
        <v>1</v>
      </c>
      <c r="C512" t="s">
        <v>741</v>
      </c>
      <c r="D512" t="s">
        <v>742</v>
      </c>
    </row>
    <row r="513" spans="1:6" hidden="1" x14ac:dyDescent="0.25">
      <c r="B513" t="s">
        <v>422</v>
      </c>
    </row>
    <row r="514" spans="1:6" hidden="1" x14ac:dyDescent="0.25"/>
    <row r="515" spans="1:6" hidden="1" x14ac:dyDescent="0.25">
      <c r="B515" t="s">
        <v>61</v>
      </c>
    </row>
    <row r="516" spans="1:6" hidden="1" x14ac:dyDescent="0.25">
      <c r="B516" t="s">
        <v>415</v>
      </c>
      <c r="C516" t="s">
        <v>416</v>
      </c>
      <c r="D516" t="s">
        <v>417</v>
      </c>
      <c r="E516" t="s">
        <v>418</v>
      </c>
      <c r="F516" t="s">
        <v>419</v>
      </c>
    </row>
    <row r="517" spans="1:6" x14ac:dyDescent="0.25">
      <c r="A517" t="s">
        <v>61</v>
      </c>
      <c r="B517">
        <v>12</v>
      </c>
      <c r="C517" t="s">
        <v>743</v>
      </c>
      <c r="D517" t="s">
        <v>744</v>
      </c>
    </row>
    <row r="518" spans="1:6" hidden="1" x14ac:dyDescent="0.25">
      <c r="A518" t="s">
        <v>61</v>
      </c>
      <c r="B518" t="s">
        <v>422</v>
      </c>
    </row>
    <row r="519" spans="1:6" hidden="1" x14ac:dyDescent="0.25">
      <c r="A519" t="s">
        <v>61</v>
      </c>
    </row>
    <row r="520" spans="1:6" x14ac:dyDescent="0.25">
      <c r="A520" t="s">
        <v>61</v>
      </c>
      <c r="B520">
        <v>11</v>
      </c>
      <c r="C520" t="s">
        <v>745</v>
      </c>
      <c r="D520" t="s">
        <v>746</v>
      </c>
    </row>
    <row r="521" spans="1:6" hidden="1" x14ac:dyDescent="0.25">
      <c r="A521" t="s">
        <v>61</v>
      </c>
      <c r="B521" t="s">
        <v>422</v>
      </c>
    </row>
    <row r="522" spans="1:6" hidden="1" x14ac:dyDescent="0.25">
      <c r="A522" t="s">
        <v>61</v>
      </c>
    </row>
    <row r="523" spans="1:6" x14ac:dyDescent="0.25">
      <c r="A523" t="s">
        <v>61</v>
      </c>
      <c r="B523">
        <v>10</v>
      </c>
      <c r="C523" t="s">
        <v>747</v>
      </c>
      <c r="D523" t="s">
        <v>748</v>
      </c>
    </row>
    <row r="524" spans="1:6" hidden="1" x14ac:dyDescent="0.25">
      <c r="A524" t="s">
        <v>61</v>
      </c>
      <c r="B524" t="s">
        <v>422</v>
      </c>
    </row>
    <row r="525" spans="1:6" hidden="1" x14ac:dyDescent="0.25">
      <c r="A525" t="s">
        <v>61</v>
      </c>
    </row>
    <row r="526" spans="1:6" x14ac:dyDescent="0.25">
      <c r="A526" t="s">
        <v>61</v>
      </c>
      <c r="B526">
        <v>9</v>
      </c>
      <c r="C526" t="s">
        <v>749</v>
      </c>
      <c r="D526" t="s">
        <v>750</v>
      </c>
    </row>
    <row r="527" spans="1:6" hidden="1" x14ac:dyDescent="0.25">
      <c r="A527" t="s">
        <v>61</v>
      </c>
      <c r="B527" t="s">
        <v>422</v>
      </c>
    </row>
    <row r="528" spans="1:6" hidden="1" x14ac:dyDescent="0.25">
      <c r="A528" t="s">
        <v>61</v>
      </c>
    </row>
    <row r="529" spans="1:4" x14ac:dyDescent="0.25">
      <c r="A529" t="s">
        <v>61</v>
      </c>
      <c r="B529">
        <v>8</v>
      </c>
      <c r="C529" t="s">
        <v>751</v>
      </c>
      <c r="D529" t="s">
        <v>752</v>
      </c>
    </row>
    <row r="530" spans="1:4" hidden="1" x14ac:dyDescent="0.25">
      <c r="A530" t="s">
        <v>61</v>
      </c>
      <c r="B530" t="s">
        <v>422</v>
      </c>
    </row>
    <row r="531" spans="1:4" hidden="1" x14ac:dyDescent="0.25">
      <c r="A531" t="s">
        <v>61</v>
      </c>
    </row>
    <row r="532" spans="1:4" x14ac:dyDescent="0.25">
      <c r="A532" t="s">
        <v>61</v>
      </c>
      <c r="B532">
        <v>7</v>
      </c>
      <c r="C532" t="s">
        <v>753</v>
      </c>
      <c r="D532" t="s">
        <v>754</v>
      </c>
    </row>
    <row r="533" spans="1:4" hidden="1" x14ac:dyDescent="0.25">
      <c r="A533" t="s">
        <v>61</v>
      </c>
      <c r="B533" t="s">
        <v>422</v>
      </c>
    </row>
    <row r="534" spans="1:4" hidden="1" x14ac:dyDescent="0.25">
      <c r="A534" t="s">
        <v>61</v>
      </c>
    </row>
    <row r="535" spans="1:4" x14ac:dyDescent="0.25">
      <c r="A535" t="s">
        <v>61</v>
      </c>
      <c r="B535">
        <v>6</v>
      </c>
      <c r="C535" t="s">
        <v>755</v>
      </c>
      <c r="D535" t="s">
        <v>756</v>
      </c>
    </row>
    <row r="536" spans="1:4" hidden="1" x14ac:dyDescent="0.25">
      <c r="A536" t="s">
        <v>61</v>
      </c>
      <c r="B536" t="s">
        <v>422</v>
      </c>
    </row>
    <row r="537" spans="1:4" hidden="1" x14ac:dyDescent="0.25">
      <c r="A537" t="s">
        <v>61</v>
      </c>
    </row>
    <row r="538" spans="1:4" x14ac:dyDescent="0.25">
      <c r="A538" t="s">
        <v>61</v>
      </c>
      <c r="B538">
        <v>5</v>
      </c>
      <c r="C538" t="s">
        <v>757</v>
      </c>
      <c r="D538" t="s">
        <v>758</v>
      </c>
    </row>
    <row r="539" spans="1:4" hidden="1" x14ac:dyDescent="0.25">
      <c r="A539" t="s">
        <v>61</v>
      </c>
      <c r="B539" t="s">
        <v>422</v>
      </c>
    </row>
    <row r="540" spans="1:4" hidden="1" x14ac:dyDescent="0.25">
      <c r="A540" t="s">
        <v>61</v>
      </c>
    </row>
    <row r="541" spans="1:4" x14ac:dyDescent="0.25">
      <c r="A541" t="s">
        <v>61</v>
      </c>
      <c r="B541">
        <v>4</v>
      </c>
      <c r="C541" t="s">
        <v>759</v>
      </c>
      <c r="D541" t="s">
        <v>760</v>
      </c>
    </row>
    <row r="542" spans="1:4" hidden="1" x14ac:dyDescent="0.25">
      <c r="A542" t="s">
        <v>61</v>
      </c>
      <c r="B542" t="s">
        <v>422</v>
      </c>
    </row>
    <row r="543" spans="1:4" hidden="1" x14ac:dyDescent="0.25">
      <c r="A543" t="s">
        <v>61</v>
      </c>
    </row>
    <row r="544" spans="1:4" x14ac:dyDescent="0.25">
      <c r="A544" t="s">
        <v>61</v>
      </c>
      <c r="B544">
        <v>3</v>
      </c>
      <c r="C544" t="s">
        <v>761</v>
      </c>
      <c r="D544" t="s">
        <v>762</v>
      </c>
    </row>
    <row r="545" spans="1:6" hidden="1" x14ac:dyDescent="0.25">
      <c r="A545" t="s">
        <v>61</v>
      </c>
      <c r="B545" t="s">
        <v>422</v>
      </c>
    </row>
    <row r="546" spans="1:6" hidden="1" x14ac:dyDescent="0.25">
      <c r="A546" t="s">
        <v>61</v>
      </c>
    </row>
    <row r="547" spans="1:6" x14ac:dyDescent="0.25">
      <c r="A547" t="s">
        <v>61</v>
      </c>
      <c r="B547">
        <v>2</v>
      </c>
      <c r="C547" t="s">
        <v>763</v>
      </c>
      <c r="D547" t="s">
        <v>764</v>
      </c>
    </row>
    <row r="548" spans="1:6" hidden="1" x14ac:dyDescent="0.25">
      <c r="A548" t="s">
        <v>61</v>
      </c>
      <c r="B548" t="s">
        <v>422</v>
      </c>
    </row>
    <row r="549" spans="1:6" hidden="1" x14ac:dyDescent="0.25">
      <c r="A549" t="s">
        <v>61</v>
      </c>
    </row>
    <row r="550" spans="1:6" x14ac:dyDescent="0.25">
      <c r="A550" t="s">
        <v>61</v>
      </c>
      <c r="B550">
        <v>1</v>
      </c>
      <c r="C550" t="s">
        <v>765</v>
      </c>
      <c r="D550" t="s">
        <v>766</v>
      </c>
    </row>
    <row r="551" spans="1:6" hidden="1" x14ac:dyDescent="0.25">
      <c r="B551" t="s">
        <v>422</v>
      </c>
    </row>
    <row r="552" spans="1:6" hidden="1" x14ac:dyDescent="0.25"/>
    <row r="553" spans="1:6" hidden="1" x14ac:dyDescent="0.25">
      <c r="B553" t="s">
        <v>42</v>
      </c>
    </row>
    <row r="554" spans="1:6" hidden="1" x14ac:dyDescent="0.25">
      <c r="B554" t="s">
        <v>415</v>
      </c>
      <c r="C554" t="s">
        <v>416</v>
      </c>
      <c r="D554" t="s">
        <v>417</v>
      </c>
      <c r="E554" t="s">
        <v>418</v>
      </c>
      <c r="F554" t="s">
        <v>419</v>
      </c>
    </row>
    <row r="555" spans="1:6" x14ac:dyDescent="0.25">
      <c r="A555" t="s">
        <v>42</v>
      </c>
      <c r="B555">
        <v>17</v>
      </c>
      <c r="C555" t="s">
        <v>767</v>
      </c>
      <c r="D555" t="s">
        <v>768</v>
      </c>
    </row>
    <row r="556" spans="1:6" hidden="1" x14ac:dyDescent="0.25">
      <c r="A556" t="s">
        <v>42</v>
      </c>
      <c r="B556" t="s">
        <v>422</v>
      </c>
    </row>
    <row r="557" spans="1:6" hidden="1" x14ac:dyDescent="0.25">
      <c r="A557" t="s">
        <v>42</v>
      </c>
    </row>
    <row r="558" spans="1:6" x14ac:dyDescent="0.25">
      <c r="A558" t="s">
        <v>42</v>
      </c>
      <c r="B558">
        <v>16</v>
      </c>
      <c r="C558" t="s">
        <v>769</v>
      </c>
      <c r="D558" t="s">
        <v>770</v>
      </c>
    </row>
    <row r="559" spans="1:6" hidden="1" x14ac:dyDescent="0.25">
      <c r="A559" t="s">
        <v>42</v>
      </c>
      <c r="B559" t="s">
        <v>422</v>
      </c>
    </row>
    <row r="560" spans="1:6" hidden="1" x14ac:dyDescent="0.25">
      <c r="A560" t="s">
        <v>42</v>
      </c>
    </row>
    <row r="561" spans="1:4" x14ac:dyDescent="0.25">
      <c r="A561" t="s">
        <v>42</v>
      </c>
      <c r="B561">
        <v>15</v>
      </c>
      <c r="C561" t="s">
        <v>771</v>
      </c>
      <c r="D561" t="s">
        <v>772</v>
      </c>
    </row>
    <row r="562" spans="1:4" hidden="1" x14ac:dyDescent="0.25">
      <c r="A562" t="s">
        <v>42</v>
      </c>
      <c r="B562" t="s">
        <v>422</v>
      </c>
    </row>
    <row r="563" spans="1:4" hidden="1" x14ac:dyDescent="0.25">
      <c r="A563" t="s">
        <v>42</v>
      </c>
    </row>
    <row r="564" spans="1:4" x14ac:dyDescent="0.25">
      <c r="A564" t="s">
        <v>42</v>
      </c>
      <c r="B564">
        <v>14</v>
      </c>
      <c r="C564" t="s">
        <v>773</v>
      </c>
      <c r="D564" t="s">
        <v>774</v>
      </c>
    </row>
    <row r="565" spans="1:4" hidden="1" x14ac:dyDescent="0.25">
      <c r="A565" t="s">
        <v>42</v>
      </c>
      <c r="B565" t="s">
        <v>422</v>
      </c>
    </row>
    <row r="566" spans="1:4" hidden="1" x14ac:dyDescent="0.25">
      <c r="A566" t="s">
        <v>42</v>
      </c>
    </row>
    <row r="567" spans="1:4" x14ac:dyDescent="0.25">
      <c r="A567" t="s">
        <v>42</v>
      </c>
      <c r="B567">
        <v>13</v>
      </c>
      <c r="C567" t="s">
        <v>775</v>
      </c>
      <c r="D567" t="s">
        <v>776</v>
      </c>
    </row>
    <row r="568" spans="1:4" hidden="1" x14ac:dyDescent="0.25">
      <c r="A568" t="s">
        <v>42</v>
      </c>
      <c r="B568" t="s">
        <v>422</v>
      </c>
    </row>
    <row r="569" spans="1:4" hidden="1" x14ac:dyDescent="0.25">
      <c r="A569" t="s">
        <v>42</v>
      </c>
    </row>
    <row r="570" spans="1:4" x14ac:dyDescent="0.25">
      <c r="A570" t="s">
        <v>42</v>
      </c>
      <c r="B570">
        <v>12</v>
      </c>
      <c r="C570" t="s">
        <v>777</v>
      </c>
      <c r="D570" t="s">
        <v>778</v>
      </c>
    </row>
    <row r="571" spans="1:4" hidden="1" x14ac:dyDescent="0.25">
      <c r="A571" t="s">
        <v>42</v>
      </c>
      <c r="B571" t="s">
        <v>422</v>
      </c>
    </row>
    <row r="572" spans="1:4" hidden="1" x14ac:dyDescent="0.25">
      <c r="A572" t="s">
        <v>42</v>
      </c>
    </row>
    <row r="573" spans="1:4" x14ac:dyDescent="0.25">
      <c r="A573" t="s">
        <v>42</v>
      </c>
      <c r="B573">
        <v>11</v>
      </c>
      <c r="C573" t="s">
        <v>779</v>
      </c>
      <c r="D573" t="s">
        <v>780</v>
      </c>
    </row>
    <row r="574" spans="1:4" hidden="1" x14ac:dyDescent="0.25">
      <c r="A574" t="s">
        <v>42</v>
      </c>
      <c r="B574" t="s">
        <v>422</v>
      </c>
    </row>
    <row r="575" spans="1:4" hidden="1" x14ac:dyDescent="0.25">
      <c r="A575" t="s">
        <v>42</v>
      </c>
    </row>
    <row r="576" spans="1:4" x14ac:dyDescent="0.25">
      <c r="A576" t="s">
        <v>42</v>
      </c>
      <c r="B576">
        <v>10</v>
      </c>
      <c r="C576" t="s">
        <v>781</v>
      </c>
      <c r="D576" t="s">
        <v>782</v>
      </c>
    </row>
    <row r="577" spans="1:4" hidden="1" x14ac:dyDescent="0.25">
      <c r="A577" t="s">
        <v>42</v>
      </c>
      <c r="B577" t="s">
        <v>422</v>
      </c>
    </row>
    <row r="578" spans="1:4" hidden="1" x14ac:dyDescent="0.25">
      <c r="A578" t="s">
        <v>42</v>
      </c>
    </row>
    <row r="579" spans="1:4" x14ac:dyDescent="0.25">
      <c r="A579" t="s">
        <v>42</v>
      </c>
      <c r="B579">
        <v>9</v>
      </c>
      <c r="C579" t="s">
        <v>783</v>
      </c>
      <c r="D579" t="s">
        <v>784</v>
      </c>
    </row>
    <row r="580" spans="1:4" hidden="1" x14ac:dyDescent="0.25">
      <c r="A580" t="s">
        <v>42</v>
      </c>
      <c r="B580" t="s">
        <v>422</v>
      </c>
    </row>
    <row r="581" spans="1:4" hidden="1" x14ac:dyDescent="0.25">
      <c r="A581" t="s">
        <v>42</v>
      </c>
    </row>
    <row r="582" spans="1:4" x14ac:dyDescent="0.25">
      <c r="A582" t="s">
        <v>42</v>
      </c>
      <c r="B582">
        <v>8</v>
      </c>
      <c r="C582" t="s">
        <v>785</v>
      </c>
      <c r="D582" t="s">
        <v>786</v>
      </c>
    </row>
    <row r="583" spans="1:4" hidden="1" x14ac:dyDescent="0.25">
      <c r="A583" t="s">
        <v>42</v>
      </c>
      <c r="B583" t="s">
        <v>422</v>
      </c>
    </row>
    <row r="584" spans="1:4" hidden="1" x14ac:dyDescent="0.25">
      <c r="A584" t="s">
        <v>42</v>
      </c>
    </row>
    <row r="585" spans="1:4" x14ac:dyDescent="0.25">
      <c r="A585" t="s">
        <v>42</v>
      </c>
      <c r="B585">
        <v>7</v>
      </c>
      <c r="C585" t="s">
        <v>787</v>
      </c>
      <c r="D585" t="s">
        <v>788</v>
      </c>
    </row>
    <row r="586" spans="1:4" hidden="1" x14ac:dyDescent="0.25">
      <c r="A586" t="s">
        <v>42</v>
      </c>
      <c r="B586" t="s">
        <v>422</v>
      </c>
    </row>
    <row r="587" spans="1:4" hidden="1" x14ac:dyDescent="0.25">
      <c r="A587" t="s">
        <v>42</v>
      </c>
    </row>
    <row r="588" spans="1:4" x14ac:dyDescent="0.25">
      <c r="A588" t="s">
        <v>42</v>
      </c>
      <c r="B588">
        <v>6</v>
      </c>
      <c r="C588" t="s">
        <v>789</v>
      </c>
      <c r="D588" t="s">
        <v>790</v>
      </c>
    </row>
    <row r="589" spans="1:4" hidden="1" x14ac:dyDescent="0.25">
      <c r="A589" t="s">
        <v>42</v>
      </c>
      <c r="B589" t="s">
        <v>422</v>
      </c>
    </row>
    <row r="590" spans="1:4" hidden="1" x14ac:dyDescent="0.25">
      <c r="A590" t="s">
        <v>42</v>
      </c>
    </row>
    <row r="591" spans="1:4" x14ac:dyDescent="0.25">
      <c r="A591" t="s">
        <v>42</v>
      </c>
      <c r="B591">
        <v>5</v>
      </c>
      <c r="C591" t="s">
        <v>791</v>
      </c>
      <c r="D591" t="s">
        <v>792</v>
      </c>
    </row>
    <row r="592" spans="1:4" hidden="1" x14ac:dyDescent="0.25">
      <c r="A592" t="s">
        <v>42</v>
      </c>
      <c r="B592" t="s">
        <v>422</v>
      </c>
    </row>
    <row r="593" spans="1:6" hidden="1" x14ac:dyDescent="0.25">
      <c r="A593" t="s">
        <v>42</v>
      </c>
    </row>
    <row r="594" spans="1:6" x14ac:dyDescent="0.25">
      <c r="A594" t="s">
        <v>42</v>
      </c>
      <c r="B594">
        <v>4</v>
      </c>
      <c r="C594" t="s">
        <v>793</v>
      </c>
      <c r="D594" t="s">
        <v>794</v>
      </c>
    </row>
    <row r="595" spans="1:6" hidden="1" x14ac:dyDescent="0.25">
      <c r="A595" t="s">
        <v>42</v>
      </c>
      <c r="B595" t="s">
        <v>422</v>
      </c>
    </row>
    <row r="596" spans="1:6" hidden="1" x14ac:dyDescent="0.25">
      <c r="A596" t="s">
        <v>42</v>
      </c>
    </row>
    <row r="597" spans="1:6" x14ac:dyDescent="0.25">
      <c r="A597" t="s">
        <v>42</v>
      </c>
      <c r="B597">
        <v>3</v>
      </c>
      <c r="C597" t="s">
        <v>795</v>
      </c>
      <c r="D597" t="s">
        <v>796</v>
      </c>
    </row>
    <row r="598" spans="1:6" hidden="1" x14ac:dyDescent="0.25">
      <c r="A598" t="s">
        <v>42</v>
      </c>
      <c r="B598" t="s">
        <v>422</v>
      </c>
    </row>
    <row r="599" spans="1:6" hidden="1" x14ac:dyDescent="0.25">
      <c r="A599" t="s">
        <v>42</v>
      </c>
    </row>
    <row r="600" spans="1:6" x14ac:dyDescent="0.25">
      <c r="A600" t="s">
        <v>42</v>
      </c>
      <c r="B600">
        <v>2</v>
      </c>
      <c r="C600" t="s">
        <v>797</v>
      </c>
      <c r="D600" t="s">
        <v>798</v>
      </c>
    </row>
    <row r="601" spans="1:6" hidden="1" x14ac:dyDescent="0.25">
      <c r="A601" t="s">
        <v>42</v>
      </c>
      <c r="B601" t="s">
        <v>422</v>
      </c>
    </row>
    <row r="602" spans="1:6" hidden="1" x14ac:dyDescent="0.25">
      <c r="A602" t="s">
        <v>42</v>
      </c>
    </row>
    <row r="603" spans="1:6" x14ac:dyDescent="0.25">
      <c r="A603" t="s">
        <v>42</v>
      </c>
      <c r="B603">
        <v>1</v>
      </c>
      <c r="C603" t="s">
        <v>799</v>
      </c>
      <c r="D603" t="s">
        <v>800</v>
      </c>
    </row>
    <row r="604" spans="1:6" hidden="1" x14ac:dyDescent="0.25">
      <c r="B604" t="s">
        <v>422</v>
      </c>
    </row>
    <row r="605" spans="1:6" hidden="1" x14ac:dyDescent="0.25"/>
    <row r="606" spans="1:6" hidden="1" x14ac:dyDescent="0.25">
      <c r="B606" t="s">
        <v>14</v>
      </c>
    </row>
    <row r="607" spans="1:6" hidden="1" x14ac:dyDescent="0.25">
      <c r="B607" t="s">
        <v>415</v>
      </c>
      <c r="C607" t="s">
        <v>416</v>
      </c>
      <c r="D607" t="s">
        <v>417</v>
      </c>
      <c r="E607" t="s">
        <v>418</v>
      </c>
      <c r="F607" t="s">
        <v>419</v>
      </c>
    </row>
    <row r="608" spans="1:6" x14ac:dyDescent="0.25">
      <c r="A608" t="s">
        <v>14</v>
      </c>
      <c r="B608">
        <v>8</v>
      </c>
      <c r="C608" t="s">
        <v>801</v>
      </c>
      <c r="D608" t="s">
        <v>802</v>
      </c>
    </row>
    <row r="609" spans="1:4" hidden="1" x14ac:dyDescent="0.25">
      <c r="A609" t="s">
        <v>14</v>
      </c>
      <c r="B609" t="s">
        <v>422</v>
      </c>
    </row>
    <row r="610" spans="1:4" hidden="1" x14ac:dyDescent="0.25">
      <c r="A610" t="s">
        <v>14</v>
      </c>
    </row>
    <row r="611" spans="1:4" x14ac:dyDescent="0.25">
      <c r="A611" t="s">
        <v>14</v>
      </c>
      <c r="B611">
        <v>7</v>
      </c>
      <c r="C611" t="s">
        <v>803</v>
      </c>
      <c r="D611" t="s">
        <v>804</v>
      </c>
    </row>
    <row r="612" spans="1:4" hidden="1" x14ac:dyDescent="0.25">
      <c r="A612" t="s">
        <v>14</v>
      </c>
      <c r="B612" t="s">
        <v>422</v>
      </c>
    </row>
    <row r="613" spans="1:4" hidden="1" x14ac:dyDescent="0.25">
      <c r="A613" t="s">
        <v>14</v>
      </c>
    </row>
    <row r="614" spans="1:4" x14ac:dyDescent="0.25">
      <c r="A614" t="s">
        <v>14</v>
      </c>
      <c r="B614">
        <v>6</v>
      </c>
      <c r="C614" t="s">
        <v>805</v>
      </c>
      <c r="D614" t="s">
        <v>806</v>
      </c>
    </row>
    <row r="615" spans="1:4" hidden="1" x14ac:dyDescent="0.25">
      <c r="A615" t="s">
        <v>14</v>
      </c>
      <c r="B615" t="s">
        <v>422</v>
      </c>
    </row>
    <row r="616" spans="1:4" hidden="1" x14ac:dyDescent="0.25">
      <c r="A616" t="s">
        <v>14</v>
      </c>
    </row>
    <row r="617" spans="1:4" x14ac:dyDescent="0.25">
      <c r="A617" t="s">
        <v>14</v>
      </c>
      <c r="B617">
        <v>5</v>
      </c>
      <c r="C617" t="s">
        <v>807</v>
      </c>
      <c r="D617" t="s">
        <v>808</v>
      </c>
    </row>
    <row r="618" spans="1:4" hidden="1" x14ac:dyDescent="0.25">
      <c r="A618" t="s">
        <v>14</v>
      </c>
      <c r="B618" t="s">
        <v>422</v>
      </c>
    </row>
    <row r="619" spans="1:4" hidden="1" x14ac:dyDescent="0.25">
      <c r="A619" t="s">
        <v>14</v>
      </c>
    </row>
    <row r="620" spans="1:4" x14ac:dyDescent="0.25">
      <c r="A620" t="s">
        <v>14</v>
      </c>
      <c r="B620">
        <v>4</v>
      </c>
      <c r="C620" t="s">
        <v>809</v>
      </c>
      <c r="D620" t="s">
        <v>810</v>
      </c>
    </row>
    <row r="621" spans="1:4" hidden="1" x14ac:dyDescent="0.25">
      <c r="A621" t="s">
        <v>14</v>
      </c>
      <c r="B621" t="s">
        <v>422</v>
      </c>
    </row>
    <row r="622" spans="1:4" hidden="1" x14ac:dyDescent="0.25">
      <c r="A622" t="s">
        <v>14</v>
      </c>
    </row>
    <row r="623" spans="1:4" x14ac:dyDescent="0.25">
      <c r="A623" t="s">
        <v>14</v>
      </c>
      <c r="B623">
        <v>3</v>
      </c>
      <c r="C623" t="s">
        <v>811</v>
      </c>
      <c r="D623" t="s">
        <v>812</v>
      </c>
    </row>
    <row r="624" spans="1:4" hidden="1" x14ac:dyDescent="0.25">
      <c r="A624" t="s">
        <v>14</v>
      </c>
      <c r="B624" t="s">
        <v>422</v>
      </c>
    </row>
    <row r="625" spans="1:4" hidden="1" x14ac:dyDescent="0.25">
      <c r="A625" t="s">
        <v>14</v>
      </c>
    </row>
    <row r="626" spans="1:4" x14ac:dyDescent="0.25">
      <c r="A626" t="s">
        <v>14</v>
      </c>
      <c r="B626">
        <v>2</v>
      </c>
      <c r="C626" t="s">
        <v>813</v>
      </c>
      <c r="D626" t="s">
        <v>814</v>
      </c>
    </row>
    <row r="627" spans="1:4" hidden="1" x14ac:dyDescent="0.25">
      <c r="A627" t="s">
        <v>14</v>
      </c>
      <c r="B627" t="s">
        <v>422</v>
      </c>
    </row>
    <row r="628" spans="1:4" hidden="1" x14ac:dyDescent="0.25">
      <c r="A628" t="s">
        <v>14</v>
      </c>
    </row>
    <row r="629" spans="1:4" x14ac:dyDescent="0.25">
      <c r="A629" t="s">
        <v>14</v>
      </c>
      <c r="B629">
        <v>1</v>
      </c>
      <c r="C629" t="s">
        <v>815</v>
      </c>
      <c r="D629" t="s">
        <v>816</v>
      </c>
    </row>
    <row r="630" spans="1:4" hidden="1" x14ac:dyDescent="0.25">
      <c r="B630" t="s">
        <v>422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3BF02-C755-4B29-96A1-5C0040669415}">
  <dimension ref="A1:E199"/>
  <sheetViews>
    <sheetView topLeftCell="C46" workbookViewId="0">
      <selection activeCell="D75" sqref="D75"/>
    </sheetView>
  </sheetViews>
  <sheetFormatPr defaultRowHeight="15" x14ac:dyDescent="0.25"/>
  <cols>
    <col min="1" max="1" width="9.42578125" hidden="1" customWidth="1"/>
    <col min="2" max="2" width="10.140625" hidden="1" customWidth="1"/>
    <col min="3" max="3" width="12.140625" bestFit="1" customWidth="1"/>
    <col min="4" max="4" width="104.5703125" bestFit="1" customWidth="1"/>
    <col min="5" max="5" width="17.5703125" bestFit="1" customWidth="1"/>
  </cols>
  <sheetData>
    <row r="1" spans="1:5" x14ac:dyDescent="0.25">
      <c r="A1" t="s">
        <v>817</v>
      </c>
      <c r="B1" t="s">
        <v>818</v>
      </c>
      <c r="C1" t="s">
        <v>819</v>
      </c>
      <c r="D1" t="s">
        <v>1</v>
      </c>
      <c r="E1" t="s">
        <v>2</v>
      </c>
    </row>
    <row r="2" spans="1:5" x14ac:dyDescent="0.25">
      <c r="A2">
        <v>1</v>
      </c>
      <c r="B2">
        <v>1</v>
      </c>
      <c r="C2" t="str">
        <f>"S"&amp;TEXT(Table3[[#This Row],[Season]],"00")&amp;"E"&amp;TEXT(Table3[[#This Row],[Episode]],"00")</f>
        <v>S01E01</v>
      </c>
      <c r="D2" t="s">
        <v>816</v>
      </c>
      <c r="E2" t="s">
        <v>815</v>
      </c>
    </row>
    <row r="3" spans="1:5" x14ac:dyDescent="0.25">
      <c r="A3">
        <v>1</v>
      </c>
      <c r="B3">
        <v>2</v>
      </c>
      <c r="C3" t="str">
        <f>"S"&amp;TEXT(Table3[[#This Row],[Season]],"00")&amp;"E"&amp;TEXT(Table3[[#This Row],[Episode]],"00")</f>
        <v>S01E02</v>
      </c>
      <c r="D3" t="s">
        <v>814</v>
      </c>
      <c r="E3" t="s">
        <v>813</v>
      </c>
    </row>
    <row r="4" spans="1:5" x14ac:dyDescent="0.25">
      <c r="A4">
        <v>1</v>
      </c>
      <c r="B4">
        <v>3</v>
      </c>
      <c r="C4" t="str">
        <f>"S"&amp;TEXT(Table3[[#This Row],[Season]],"00")&amp;"E"&amp;TEXT(Table3[[#This Row],[Episode]],"00")</f>
        <v>S01E03</v>
      </c>
      <c r="D4" t="s">
        <v>812</v>
      </c>
      <c r="E4" t="s">
        <v>811</v>
      </c>
    </row>
    <row r="5" spans="1:5" x14ac:dyDescent="0.25">
      <c r="A5">
        <v>1</v>
      </c>
      <c r="B5">
        <v>4</v>
      </c>
      <c r="C5" t="str">
        <f>"S"&amp;TEXT(Table3[[#This Row],[Season]],"00")&amp;"E"&amp;TEXT(Table3[[#This Row],[Episode]],"00")</f>
        <v>S01E04</v>
      </c>
      <c r="D5" t="s">
        <v>810</v>
      </c>
      <c r="E5" t="s">
        <v>809</v>
      </c>
    </row>
    <row r="6" spans="1:5" x14ac:dyDescent="0.25">
      <c r="A6">
        <v>1</v>
      </c>
      <c r="B6">
        <v>5</v>
      </c>
      <c r="C6" t="str">
        <f>"S"&amp;TEXT(Table3[[#This Row],[Season]],"00")&amp;"E"&amp;TEXT(Table3[[#This Row],[Episode]],"00")</f>
        <v>S01E05</v>
      </c>
      <c r="D6" t="s">
        <v>808</v>
      </c>
      <c r="E6" t="s">
        <v>807</v>
      </c>
    </row>
    <row r="7" spans="1:5" x14ac:dyDescent="0.25">
      <c r="A7">
        <v>1</v>
      </c>
      <c r="B7">
        <v>6</v>
      </c>
      <c r="C7" t="str">
        <f>"S"&amp;TEXT(Table3[[#This Row],[Season]],"00")&amp;"E"&amp;TEXT(Table3[[#This Row],[Episode]],"00")</f>
        <v>S01E06</v>
      </c>
      <c r="D7" t="s">
        <v>806</v>
      </c>
      <c r="E7" t="s">
        <v>805</v>
      </c>
    </row>
    <row r="8" spans="1:5" x14ac:dyDescent="0.25">
      <c r="A8">
        <v>1</v>
      </c>
      <c r="B8">
        <v>7</v>
      </c>
      <c r="C8" t="str">
        <f>"S"&amp;TEXT(Table3[[#This Row],[Season]],"00")&amp;"E"&amp;TEXT(Table3[[#This Row],[Episode]],"00")</f>
        <v>S01E07</v>
      </c>
      <c r="D8" t="s">
        <v>804</v>
      </c>
      <c r="E8" t="s">
        <v>803</v>
      </c>
    </row>
    <row r="9" spans="1:5" x14ac:dyDescent="0.25">
      <c r="A9">
        <v>1</v>
      </c>
      <c r="B9">
        <v>8</v>
      </c>
      <c r="C9" t="str">
        <f>"S"&amp;TEXT(Table3[[#This Row],[Season]],"00")&amp;"E"&amp;TEXT(Table3[[#This Row],[Episode]],"00")</f>
        <v>S01E08</v>
      </c>
      <c r="D9" t="s">
        <v>802</v>
      </c>
      <c r="E9" t="s">
        <v>801</v>
      </c>
    </row>
    <row r="10" spans="1:5" x14ac:dyDescent="0.25">
      <c r="A10">
        <v>2</v>
      </c>
      <c r="B10">
        <v>1</v>
      </c>
      <c r="C10" t="str">
        <f>"S"&amp;TEXT(Table3[[#This Row],[Season]],"00")&amp;"E"&amp;TEXT(Table3[[#This Row],[Episode]],"00")</f>
        <v>S02E01</v>
      </c>
      <c r="D10" t="s">
        <v>800</v>
      </c>
      <c r="E10" t="s">
        <v>799</v>
      </c>
    </row>
    <row r="11" spans="1:5" x14ac:dyDescent="0.25">
      <c r="A11">
        <v>2</v>
      </c>
      <c r="B11">
        <v>2</v>
      </c>
      <c r="C11" t="str">
        <f>"S"&amp;TEXT(Table3[[#This Row],[Season]],"00")&amp;"E"&amp;TEXT(Table3[[#This Row],[Episode]],"00")</f>
        <v>S02E02</v>
      </c>
      <c r="D11" t="s">
        <v>798</v>
      </c>
      <c r="E11" t="s">
        <v>797</v>
      </c>
    </row>
    <row r="12" spans="1:5" x14ac:dyDescent="0.25">
      <c r="A12">
        <v>2</v>
      </c>
      <c r="B12">
        <v>3</v>
      </c>
      <c r="C12" t="str">
        <f>"S"&amp;TEXT(Table3[[#This Row],[Season]],"00")&amp;"E"&amp;TEXT(Table3[[#This Row],[Episode]],"00")</f>
        <v>S02E03</v>
      </c>
      <c r="D12" t="s">
        <v>796</v>
      </c>
      <c r="E12" t="s">
        <v>795</v>
      </c>
    </row>
    <row r="13" spans="1:5" x14ac:dyDescent="0.25">
      <c r="A13">
        <v>2</v>
      </c>
      <c r="B13">
        <v>4</v>
      </c>
      <c r="C13" t="str">
        <f>"S"&amp;TEXT(Table3[[#This Row],[Season]],"00")&amp;"E"&amp;TEXT(Table3[[#This Row],[Episode]],"00")</f>
        <v>S02E04</v>
      </c>
      <c r="D13" t="s">
        <v>794</v>
      </c>
      <c r="E13" t="s">
        <v>793</v>
      </c>
    </row>
    <row r="14" spans="1:5" x14ac:dyDescent="0.25">
      <c r="A14">
        <v>2</v>
      </c>
      <c r="B14">
        <v>5</v>
      </c>
      <c r="C14" t="str">
        <f>"S"&amp;TEXT(Table3[[#This Row],[Season]],"00")&amp;"E"&amp;TEXT(Table3[[#This Row],[Episode]],"00")</f>
        <v>S02E05</v>
      </c>
      <c r="D14" t="s">
        <v>792</v>
      </c>
      <c r="E14" t="s">
        <v>791</v>
      </c>
    </row>
    <row r="15" spans="1:5" x14ac:dyDescent="0.25">
      <c r="A15">
        <v>2</v>
      </c>
      <c r="B15">
        <v>6</v>
      </c>
      <c r="C15" t="str">
        <f>"S"&amp;TEXT(Table3[[#This Row],[Season]],"00")&amp;"E"&amp;TEXT(Table3[[#This Row],[Episode]],"00")</f>
        <v>S02E06</v>
      </c>
      <c r="D15" t="s">
        <v>790</v>
      </c>
      <c r="E15" t="s">
        <v>789</v>
      </c>
    </row>
    <row r="16" spans="1:5" x14ac:dyDescent="0.25">
      <c r="A16">
        <v>2</v>
      </c>
      <c r="B16">
        <v>7</v>
      </c>
      <c r="C16" t="str">
        <f>"S"&amp;TEXT(Table3[[#This Row],[Season]],"00")&amp;"E"&amp;TEXT(Table3[[#This Row],[Episode]],"00")</f>
        <v>S02E07</v>
      </c>
      <c r="D16" t="s">
        <v>788</v>
      </c>
      <c r="E16" t="s">
        <v>787</v>
      </c>
    </row>
    <row r="17" spans="1:5" x14ac:dyDescent="0.25">
      <c r="A17">
        <v>2</v>
      </c>
      <c r="B17">
        <v>8</v>
      </c>
      <c r="C17" t="str">
        <f>"S"&amp;TEXT(Table3[[#This Row],[Season]],"00")&amp;"E"&amp;TEXT(Table3[[#This Row],[Episode]],"00")</f>
        <v>S02E08</v>
      </c>
      <c r="D17" t="s">
        <v>786</v>
      </c>
      <c r="E17" t="s">
        <v>785</v>
      </c>
    </row>
    <row r="18" spans="1:5" x14ac:dyDescent="0.25">
      <c r="A18">
        <v>2</v>
      </c>
      <c r="B18">
        <v>9</v>
      </c>
      <c r="C18" t="str">
        <f>"S"&amp;TEXT(Table3[[#This Row],[Season]],"00")&amp;"E"&amp;TEXT(Table3[[#This Row],[Episode]],"00")</f>
        <v>S02E09</v>
      </c>
      <c r="D18" t="s">
        <v>784</v>
      </c>
      <c r="E18" t="s">
        <v>783</v>
      </c>
    </row>
    <row r="19" spans="1:5" x14ac:dyDescent="0.25">
      <c r="A19">
        <v>2</v>
      </c>
      <c r="B19">
        <v>10</v>
      </c>
      <c r="C19" t="str">
        <f>"S"&amp;TEXT(Table3[[#This Row],[Season]],"00")&amp;"E"&amp;TEXT(Table3[[#This Row],[Episode]],"00")</f>
        <v>S02E10</v>
      </c>
      <c r="D19" t="s">
        <v>782</v>
      </c>
      <c r="E19" t="s">
        <v>781</v>
      </c>
    </row>
    <row r="20" spans="1:5" x14ac:dyDescent="0.25">
      <c r="A20">
        <v>2</v>
      </c>
      <c r="B20">
        <v>11</v>
      </c>
      <c r="C20" t="str">
        <f>"S"&amp;TEXT(Table3[[#This Row],[Season]],"00")&amp;"E"&amp;TEXT(Table3[[#This Row],[Episode]],"00")</f>
        <v>S02E11</v>
      </c>
      <c r="D20" t="s">
        <v>780</v>
      </c>
      <c r="E20" t="s">
        <v>779</v>
      </c>
    </row>
    <row r="21" spans="1:5" x14ac:dyDescent="0.25">
      <c r="A21">
        <v>2</v>
      </c>
      <c r="B21">
        <v>12</v>
      </c>
      <c r="C21" t="str">
        <f>"S"&amp;TEXT(Table3[[#This Row],[Season]],"00")&amp;"E"&amp;TEXT(Table3[[#This Row],[Episode]],"00")</f>
        <v>S02E12</v>
      </c>
      <c r="D21" t="s">
        <v>778</v>
      </c>
      <c r="E21" t="s">
        <v>777</v>
      </c>
    </row>
    <row r="22" spans="1:5" x14ac:dyDescent="0.25">
      <c r="A22">
        <v>2</v>
      </c>
      <c r="B22">
        <v>13</v>
      </c>
      <c r="C22" t="str">
        <f>"S"&amp;TEXT(Table3[[#This Row],[Season]],"00")&amp;"E"&amp;TEXT(Table3[[#This Row],[Episode]],"00")</f>
        <v>S02E13</v>
      </c>
      <c r="D22" t="s">
        <v>776</v>
      </c>
      <c r="E22" t="s">
        <v>775</v>
      </c>
    </row>
    <row r="23" spans="1:5" x14ac:dyDescent="0.25">
      <c r="A23">
        <v>2</v>
      </c>
      <c r="B23">
        <v>14</v>
      </c>
      <c r="C23" t="str">
        <f>"S"&amp;TEXT(Table3[[#This Row],[Season]],"00")&amp;"E"&amp;TEXT(Table3[[#This Row],[Episode]],"00")</f>
        <v>S02E14</v>
      </c>
      <c r="D23" t="s">
        <v>774</v>
      </c>
      <c r="E23" t="s">
        <v>773</v>
      </c>
    </row>
    <row r="24" spans="1:5" x14ac:dyDescent="0.25">
      <c r="A24">
        <v>2</v>
      </c>
      <c r="B24">
        <v>15</v>
      </c>
      <c r="C24" t="str">
        <f>"S"&amp;TEXT(Table3[[#This Row],[Season]],"00")&amp;"E"&amp;TEXT(Table3[[#This Row],[Episode]],"00")</f>
        <v>S02E15</v>
      </c>
      <c r="D24" t="s">
        <v>772</v>
      </c>
      <c r="E24" t="s">
        <v>771</v>
      </c>
    </row>
    <row r="25" spans="1:5" x14ac:dyDescent="0.25">
      <c r="A25">
        <v>2</v>
      </c>
      <c r="B25">
        <v>16</v>
      </c>
      <c r="C25" t="str">
        <f>"S"&amp;TEXT(Table3[[#This Row],[Season]],"00")&amp;"E"&amp;TEXT(Table3[[#This Row],[Episode]],"00")</f>
        <v>S02E16</v>
      </c>
      <c r="D25" t="s">
        <v>770</v>
      </c>
      <c r="E25" t="s">
        <v>769</v>
      </c>
    </row>
    <row r="26" spans="1:5" x14ac:dyDescent="0.25">
      <c r="A26">
        <v>2</v>
      </c>
      <c r="B26">
        <v>17</v>
      </c>
      <c r="C26" t="str">
        <f>"S"&amp;TEXT(Table3[[#This Row],[Season]],"00")&amp;"E"&amp;TEXT(Table3[[#This Row],[Episode]],"00")</f>
        <v>S02E17</v>
      </c>
      <c r="D26" t="s">
        <v>768</v>
      </c>
      <c r="E26" t="s">
        <v>767</v>
      </c>
    </row>
    <row r="27" spans="1:5" x14ac:dyDescent="0.25">
      <c r="A27">
        <v>3</v>
      </c>
      <c r="B27">
        <v>1</v>
      </c>
      <c r="C27" t="str">
        <f>"S"&amp;TEXT(Table3[[#This Row],[Season]],"00")&amp;"E"&amp;TEXT(Table3[[#This Row],[Episode]],"00")</f>
        <v>S03E01</v>
      </c>
      <c r="D27" t="s">
        <v>766</v>
      </c>
      <c r="E27" t="s">
        <v>765</v>
      </c>
    </row>
    <row r="28" spans="1:5" x14ac:dyDescent="0.25">
      <c r="A28">
        <v>3</v>
      </c>
      <c r="B28">
        <v>2</v>
      </c>
      <c r="C28" t="str">
        <f>"S"&amp;TEXT(Table3[[#This Row],[Season]],"00")&amp;"E"&amp;TEXT(Table3[[#This Row],[Episode]],"00")</f>
        <v>S03E02</v>
      </c>
      <c r="D28" t="s">
        <v>764</v>
      </c>
      <c r="E28" t="s">
        <v>763</v>
      </c>
    </row>
    <row r="29" spans="1:5" x14ac:dyDescent="0.25">
      <c r="A29">
        <v>3</v>
      </c>
      <c r="B29">
        <v>3</v>
      </c>
      <c r="C29" t="str">
        <f>"S"&amp;TEXT(Table3[[#This Row],[Season]],"00")&amp;"E"&amp;TEXT(Table3[[#This Row],[Episode]],"00")</f>
        <v>S03E03</v>
      </c>
      <c r="D29" t="s">
        <v>762</v>
      </c>
      <c r="E29" t="s">
        <v>761</v>
      </c>
    </row>
    <row r="30" spans="1:5" x14ac:dyDescent="0.25">
      <c r="A30">
        <v>3</v>
      </c>
      <c r="B30">
        <v>4</v>
      </c>
      <c r="C30" t="str">
        <f>"S"&amp;TEXT(Table3[[#This Row],[Season]],"00")&amp;"E"&amp;TEXT(Table3[[#This Row],[Episode]],"00")</f>
        <v>S03E04</v>
      </c>
      <c r="D30" t="s">
        <v>760</v>
      </c>
      <c r="E30" t="s">
        <v>759</v>
      </c>
    </row>
    <row r="31" spans="1:5" x14ac:dyDescent="0.25">
      <c r="A31">
        <v>3</v>
      </c>
      <c r="B31">
        <v>5</v>
      </c>
      <c r="C31" t="str">
        <f>"S"&amp;TEXT(Table3[[#This Row],[Season]],"00")&amp;"E"&amp;TEXT(Table3[[#This Row],[Episode]],"00")</f>
        <v>S03E05</v>
      </c>
      <c r="D31" t="s">
        <v>758</v>
      </c>
      <c r="E31" t="s">
        <v>757</v>
      </c>
    </row>
    <row r="32" spans="1:5" x14ac:dyDescent="0.25">
      <c r="A32">
        <v>3</v>
      </c>
      <c r="B32">
        <v>6</v>
      </c>
      <c r="C32" t="str">
        <f>"S"&amp;TEXT(Table3[[#This Row],[Season]],"00")&amp;"E"&amp;TEXT(Table3[[#This Row],[Episode]],"00")</f>
        <v>S03E06</v>
      </c>
      <c r="D32" t="s">
        <v>756</v>
      </c>
      <c r="E32" t="s">
        <v>755</v>
      </c>
    </row>
    <row r="33" spans="1:5" x14ac:dyDescent="0.25">
      <c r="A33">
        <v>3</v>
      </c>
      <c r="B33">
        <v>7</v>
      </c>
      <c r="C33" t="str">
        <f>"S"&amp;TEXT(Table3[[#This Row],[Season]],"00")&amp;"E"&amp;TEXT(Table3[[#This Row],[Episode]],"00")</f>
        <v>S03E07</v>
      </c>
      <c r="D33" t="s">
        <v>754</v>
      </c>
      <c r="E33" t="s">
        <v>753</v>
      </c>
    </row>
    <row r="34" spans="1:5" x14ac:dyDescent="0.25">
      <c r="A34">
        <v>3</v>
      </c>
      <c r="B34">
        <v>8</v>
      </c>
      <c r="C34" t="str">
        <f>"S"&amp;TEXT(Table3[[#This Row],[Season]],"00")&amp;"E"&amp;TEXT(Table3[[#This Row],[Episode]],"00")</f>
        <v>S03E08</v>
      </c>
      <c r="D34" t="s">
        <v>752</v>
      </c>
      <c r="E34" t="s">
        <v>751</v>
      </c>
    </row>
    <row r="35" spans="1:5" x14ac:dyDescent="0.25">
      <c r="A35">
        <v>3</v>
      </c>
      <c r="B35">
        <v>9</v>
      </c>
      <c r="C35" t="str">
        <f>"S"&amp;TEXT(Table3[[#This Row],[Season]],"00")&amp;"E"&amp;TEXT(Table3[[#This Row],[Episode]],"00")</f>
        <v>S03E09</v>
      </c>
      <c r="D35" t="s">
        <v>750</v>
      </c>
      <c r="E35" t="s">
        <v>749</v>
      </c>
    </row>
    <row r="36" spans="1:5" x14ac:dyDescent="0.25">
      <c r="A36">
        <v>3</v>
      </c>
      <c r="B36">
        <v>10</v>
      </c>
      <c r="C36" t="str">
        <f>"S"&amp;TEXT(Table3[[#This Row],[Season]],"00")&amp;"E"&amp;TEXT(Table3[[#This Row],[Episode]],"00")</f>
        <v>S03E10</v>
      </c>
      <c r="D36" t="s">
        <v>748</v>
      </c>
      <c r="E36" t="s">
        <v>747</v>
      </c>
    </row>
    <row r="37" spans="1:5" x14ac:dyDescent="0.25">
      <c r="A37">
        <v>3</v>
      </c>
      <c r="B37">
        <v>11</v>
      </c>
      <c r="C37" t="str">
        <f>"S"&amp;TEXT(Table3[[#This Row],[Season]],"00")&amp;"E"&amp;TEXT(Table3[[#This Row],[Episode]],"00")</f>
        <v>S03E11</v>
      </c>
      <c r="D37" t="s">
        <v>746</v>
      </c>
      <c r="E37" t="s">
        <v>745</v>
      </c>
    </row>
    <row r="38" spans="1:5" x14ac:dyDescent="0.25">
      <c r="A38">
        <v>3</v>
      </c>
      <c r="B38">
        <v>12</v>
      </c>
      <c r="C38" t="str">
        <f>"S"&amp;TEXT(Table3[[#This Row],[Season]],"00")&amp;"E"&amp;TEXT(Table3[[#This Row],[Episode]],"00")</f>
        <v>S03E12</v>
      </c>
      <c r="D38" t="s">
        <v>744</v>
      </c>
      <c r="E38" t="s">
        <v>743</v>
      </c>
    </row>
    <row r="39" spans="1:5" x14ac:dyDescent="0.25">
      <c r="A39">
        <v>4</v>
      </c>
      <c r="B39">
        <v>1</v>
      </c>
      <c r="C39" t="str">
        <f>"S"&amp;TEXT(Table3[[#This Row],[Season]],"00")&amp;"E"&amp;TEXT(Table3[[#This Row],[Episode]],"00")</f>
        <v>S04E01</v>
      </c>
      <c r="D39" t="s">
        <v>742</v>
      </c>
      <c r="E39" t="s">
        <v>741</v>
      </c>
    </row>
    <row r="40" spans="1:5" x14ac:dyDescent="0.25">
      <c r="A40">
        <v>4</v>
      </c>
      <c r="B40">
        <v>2</v>
      </c>
      <c r="C40" t="str">
        <f>"S"&amp;TEXT(Table3[[#This Row],[Season]],"00")&amp;"E"&amp;TEXT(Table3[[#This Row],[Episode]],"00")</f>
        <v>S04E02</v>
      </c>
      <c r="D40" t="s">
        <v>740</v>
      </c>
      <c r="E40" t="s">
        <v>739</v>
      </c>
    </row>
    <row r="41" spans="1:5" x14ac:dyDescent="0.25">
      <c r="A41">
        <v>4</v>
      </c>
      <c r="B41">
        <v>3</v>
      </c>
      <c r="C41" t="str">
        <f>"S"&amp;TEXT(Table3[[#This Row],[Season]],"00")&amp;"E"&amp;TEXT(Table3[[#This Row],[Episode]],"00")</f>
        <v>S04E03</v>
      </c>
      <c r="D41" t="s">
        <v>738</v>
      </c>
      <c r="E41" t="s">
        <v>737</v>
      </c>
    </row>
    <row r="42" spans="1:5" x14ac:dyDescent="0.25">
      <c r="A42">
        <v>4</v>
      </c>
      <c r="B42">
        <v>4</v>
      </c>
      <c r="C42" t="str">
        <f>"S"&amp;TEXT(Table3[[#This Row],[Season]],"00")&amp;"E"&amp;TEXT(Table3[[#This Row],[Episode]],"00")</f>
        <v>S04E04</v>
      </c>
      <c r="D42" t="s">
        <v>736</v>
      </c>
      <c r="E42" t="s">
        <v>735</v>
      </c>
    </row>
    <row r="43" spans="1:5" x14ac:dyDescent="0.25">
      <c r="A43">
        <v>4</v>
      </c>
      <c r="B43">
        <v>5</v>
      </c>
      <c r="C43" t="str">
        <f>"S"&amp;TEXT(Table3[[#This Row],[Season]],"00")&amp;"E"&amp;TEXT(Table3[[#This Row],[Episode]],"00")</f>
        <v>S04E05</v>
      </c>
      <c r="D43" t="s">
        <v>734</v>
      </c>
      <c r="E43" t="s">
        <v>733</v>
      </c>
    </row>
    <row r="44" spans="1:5" x14ac:dyDescent="0.25">
      <c r="A44">
        <v>4</v>
      </c>
      <c r="B44">
        <v>6</v>
      </c>
      <c r="C44" t="str">
        <f>"S"&amp;TEXT(Table3[[#This Row],[Season]],"00")&amp;"E"&amp;TEXT(Table3[[#This Row],[Episode]],"00")</f>
        <v>S04E06</v>
      </c>
      <c r="D44" t="s">
        <v>732</v>
      </c>
      <c r="E44" t="s">
        <v>731</v>
      </c>
    </row>
    <row r="45" spans="1:5" x14ac:dyDescent="0.25">
      <c r="A45">
        <v>4</v>
      </c>
      <c r="B45">
        <v>7</v>
      </c>
      <c r="C45" t="str">
        <f>"S"&amp;TEXT(Table3[[#This Row],[Season]],"00")&amp;"E"&amp;TEXT(Table3[[#This Row],[Episode]],"00")</f>
        <v>S04E07</v>
      </c>
      <c r="D45" t="s">
        <v>730</v>
      </c>
      <c r="E45" t="s">
        <v>729</v>
      </c>
    </row>
    <row r="46" spans="1:5" x14ac:dyDescent="0.25">
      <c r="A46">
        <v>4</v>
      </c>
      <c r="B46">
        <v>8</v>
      </c>
      <c r="C46" t="str">
        <f>"S"&amp;TEXT(Table3[[#This Row],[Season]],"00")&amp;"E"&amp;TEXT(Table3[[#This Row],[Episode]],"00")</f>
        <v>S04E08</v>
      </c>
      <c r="D46" t="s">
        <v>728</v>
      </c>
      <c r="E46" t="s">
        <v>727</v>
      </c>
    </row>
    <row r="47" spans="1:5" x14ac:dyDescent="0.25">
      <c r="A47">
        <v>5</v>
      </c>
      <c r="B47">
        <v>1</v>
      </c>
      <c r="C47" t="str">
        <f>"S"&amp;TEXT(Table3[[#This Row],[Season]],"00")&amp;"E"&amp;TEXT(Table3[[#This Row],[Episode]],"00")</f>
        <v>S05E01</v>
      </c>
      <c r="D47" t="s">
        <v>726</v>
      </c>
      <c r="E47" t="s">
        <v>725</v>
      </c>
    </row>
    <row r="48" spans="1:5" x14ac:dyDescent="0.25">
      <c r="A48">
        <v>5</v>
      </c>
      <c r="B48">
        <v>2</v>
      </c>
      <c r="C48" t="str">
        <f>"S"&amp;TEXT(Table3[[#This Row],[Season]],"00")&amp;"E"&amp;TEXT(Table3[[#This Row],[Episode]],"00")</f>
        <v>S05E02</v>
      </c>
      <c r="D48" t="s">
        <v>724</v>
      </c>
      <c r="E48" t="s">
        <v>723</v>
      </c>
    </row>
    <row r="49" spans="1:5" x14ac:dyDescent="0.25">
      <c r="A49">
        <v>5</v>
      </c>
      <c r="B49">
        <v>3</v>
      </c>
      <c r="C49" t="str">
        <f>"S"&amp;TEXT(Table3[[#This Row],[Season]],"00")&amp;"E"&amp;TEXT(Table3[[#This Row],[Episode]],"00")</f>
        <v>S05E03</v>
      </c>
      <c r="D49" t="s">
        <v>722</v>
      </c>
      <c r="E49" t="s">
        <v>721</v>
      </c>
    </row>
    <row r="50" spans="1:5" x14ac:dyDescent="0.25">
      <c r="A50">
        <v>5</v>
      </c>
      <c r="B50">
        <v>4</v>
      </c>
      <c r="C50" t="str">
        <f>"S"&amp;TEXT(Table3[[#This Row],[Season]],"00")&amp;"E"&amp;TEXT(Table3[[#This Row],[Episode]],"00")</f>
        <v>S05E04</v>
      </c>
      <c r="D50" t="s">
        <v>720</v>
      </c>
      <c r="E50" t="s">
        <v>719</v>
      </c>
    </row>
    <row r="51" spans="1:5" x14ac:dyDescent="0.25">
      <c r="A51">
        <v>5</v>
      </c>
      <c r="B51">
        <v>5</v>
      </c>
      <c r="C51" t="str">
        <f>"S"&amp;TEXT(Table3[[#This Row],[Season]],"00")&amp;"E"&amp;TEXT(Table3[[#This Row],[Episode]],"00")</f>
        <v>S05E05</v>
      </c>
      <c r="D51" t="s">
        <v>718</v>
      </c>
      <c r="E51" t="s">
        <v>717</v>
      </c>
    </row>
    <row r="52" spans="1:5" x14ac:dyDescent="0.25">
      <c r="A52">
        <v>5</v>
      </c>
      <c r="B52">
        <v>6</v>
      </c>
      <c r="C52" t="str">
        <f>"S"&amp;TEXT(Table3[[#This Row],[Season]],"00")&amp;"E"&amp;TEXT(Table3[[#This Row],[Episode]],"00")</f>
        <v>S05E06</v>
      </c>
      <c r="D52" t="s">
        <v>716</v>
      </c>
      <c r="E52" t="s">
        <v>715</v>
      </c>
    </row>
    <row r="53" spans="1:5" x14ac:dyDescent="0.25">
      <c r="A53">
        <v>5</v>
      </c>
      <c r="B53">
        <v>7</v>
      </c>
      <c r="C53" t="str">
        <f>"S"&amp;TEXT(Table3[[#This Row],[Season]],"00")&amp;"E"&amp;TEXT(Table3[[#This Row],[Episode]],"00")</f>
        <v>S05E07</v>
      </c>
      <c r="D53" t="s">
        <v>714</v>
      </c>
      <c r="E53" t="s">
        <v>713</v>
      </c>
    </row>
    <row r="54" spans="1:5" x14ac:dyDescent="0.25">
      <c r="A54">
        <v>5</v>
      </c>
      <c r="B54">
        <v>8</v>
      </c>
      <c r="C54" t="str">
        <f>"S"&amp;TEXT(Table3[[#This Row],[Season]],"00")&amp;"E"&amp;TEXT(Table3[[#This Row],[Episode]],"00")</f>
        <v>S05E08</v>
      </c>
      <c r="D54" t="s">
        <v>712</v>
      </c>
      <c r="E54" t="s">
        <v>711</v>
      </c>
    </row>
    <row r="55" spans="1:5" x14ac:dyDescent="0.25">
      <c r="A55">
        <v>5</v>
      </c>
      <c r="B55">
        <v>9</v>
      </c>
      <c r="C55" t="str">
        <f>"S"&amp;TEXT(Table3[[#This Row],[Season]],"00")&amp;"E"&amp;TEXT(Table3[[#This Row],[Episode]],"00")</f>
        <v>S05E09</v>
      </c>
      <c r="D55" t="s">
        <v>710</v>
      </c>
      <c r="E55" t="s">
        <v>709</v>
      </c>
    </row>
    <row r="56" spans="1:5" x14ac:dyDescent="0.25">
      <c r="A56">
        <v>5</v>
      </c>
      <c r="B56">
        <v>10</v>
      </c>
      <c r="C56" t="str">
        <f>"S"&amp;TEXT(Table3[[#This Row],[Season]],"00")&amp;"E"&amp;TEXT(Table3[[#This Row],[Episode]],"00")</f>
        <v>S05E10</v>
      </c>
      <c r="D56" t="s">
        <v>708</v>
      </c>
      <c r="E56" t="s">
        <v>707</v>
      </c>
    </row>
    <row r="57" spans="1:5" x14ac:dyDescent="0.25">
      <c r="A57">
        <v>5</v>
      </c>
      <c r="B57">
        <v>11</v>
      </c>
      <c r="C57" t="str">
        <f>"S"&amp;TEXT(Table3[[#This Row],[Season]],"00")&amp;"E"&amp;TEXT(Table3[[#This Row],[Episode]],"00")</f>
        <v>S05E11</v>
      </c>
      <c r="D57" t="s">
        <v>706</v>
      </c>
      <c r="E57" t="s">
        <v>705</v>
      </c>
    </row>
    <row r="58" spans="1:5" x14ac:dyDescent="0.25">
      <c r="A58">
        <v>6</v>
      </c>
      <c r="B58">
        <v>1</v>
      </c>
      <c r="C58" t="str">
        <f>"S"&amp;TEXT(Table3[[#This Row],[Season]],"00")&amp;"E"&amp;TEXT(Table3[[#This Row],[Episode]],"00")</f>
        <v>S06E01</v>
      </c>
      <c r="D58" t="s">
        <v>704</v>
      </c>
      <c r="E58" t="s">
        <v>703</v>
      </c>
    </row>
    <row r="59" spans="1:5" x14ac:dyDescent="0.25">
      <c r="A59">
        <v>6</v>
      </c>
      <c r="B59">
        <v>2</v>
      </c>
      <c r="C59" t="str">
        <f>"S"&amp;TEXT(Table3[[#This Row],[Season]],"00")&amp;"E"&amp;TEXT(Table3[[#This Row],[Episode]],"00")</f>
        <v>S06E02</v>
      </c>
      <c r="D59" t="s">
        <v>702</v>
      </c>
      <c r="E59" t="s">
        <v>701</v>
      </c>
    </row>
    <row r="60" spans="1:5" x14ac:dyDescent="0.25">
      <c r="A60">
        <v>6</v>
      </c>
      <c r="B60">
        <v>3</v>
      </c>
      <c r="C60" t="str">
        <f>"S"&amp;TEXT(Table3[[#This Row],[Season]],"00")&amp;"E"&amp;TEXT(Table3[[#This Row],[Episode]],"00")</f>
        <v>S06E03</v>
      </c>
      <c r="D60" t="s">
        <v>700</v>
      </c>
      <c r="E60" t="s">
        <v>699</v>
      </c>
    </row>
    <row r="61" spans="1:5" x14ac:dyDescent="0.25">
      <c r="A61">
        <v>6</v>
      </c>
      <c r="B61">
        <v>4</v>
      </c>
      <c r="C61" t="str">
        <f>"S"&amp;TEXT(Table3[[#This Row],[Season]],"00")&amp;"E"&amp;TEXT(Table3[[#This Row],[Episode]],"00")</f>
        <v>S06E04</v>
      </c>
      <c r="D61" t="s">
        <v>698</v>
      </c>
      <c r="E61" t="s">
        <v>697</v>
      </c>
    </row>
    <row r="62" spans="1:5" x14ac:dyDescent="0.25">
      <c r="A62">
        <v>6</v>
      </c>
      <c r="B62">
        <v>5</v>
      </c>
      <c r="C62" t="str">
        <f>"S"&amp;TEXT(Table3[[#This Row],[Season]],"00")&amp;"E"&amp;TEXT(Table3[[#This Row],[Episode]],"00")</f>
        <v>S06E05</v>
      </c>
      <c r="D62" t="s">
        <v>696</v>
      </c>
      <c r="E62" t="s">
        <v>695</v>
      </c>
    </row>
    <row r="63" spans="1:5" x14ac:dyDescent="0.25">
      <c r="A63">
        <v>6</v>
      </c>
      <c r="B63">
        <v>6</v>
      </c>
      <c r="C63" t="str">
        <f>"S"&amp;TEXT(Table3[[#This Row],[Season]],"00")&amp;"E"&amp;TEXT(Table3[[#This Row],[Episode]],"00")</f>
        <v>S06E06</v>
      </c>
      <c r="D63" t="s">
        <v>694</v>
      </c>
      <c r="E63" t="s">
        <v>693</v>
      </c>
    </row>
    <row r="64" spans="1:5" x14ac:dyDescent="0.25">
      <c r="A64">
        <v>6</v>
      </c>
      <c r="B64">
        <v>7</v>
      </c>
      <c r="C64" t="str">
        <f>"S"&amp;TEXT(Table3[[#This Row],[Season]],"00")&amp;"E"&amp;TEXT(Table3[[#This Row],[Episode]],"00")</f>
        <v>S06E07</v>
      </c>
      <c r="D64" t="s">
        <v>692</v>
      </c>
      <c r="E64" t="s">
        <v>691</v>
      </c>
    </row>
    <row r="65" spans="1:5" x14ac:dyDescent="0.25">
      <c r="A65">
        <v>6</v>
      </c>
      <c r="B65">
        <v>8</v>
      </c>
      <c r="C65" t="str">
        <f>"S"&amp;TEXT(Table3[[#This Row],[Season]],"00")&amp;"E"&amp;TEXT(Table3[[#This Row],[Episode]],"00")</f>
        <v>S06E08</v>
      </c>
      <c r="D65" t="s">
        <v>690</v>
      </c>
      <c r="E65" t="s">
        <v>689</v>
      </c>
    </row>
    <row r="66" spans="1:5" x14ac:dyDescent="0.25">
      <c r="A66">
        <v>7</v>
      </c>
      <c r="B66">
        <v>1</v>
      </c>
      <c r="C66" t="str">
        <f>"S"&amp;TEXT(Table3[[#This Row],[Season]],"00")&amp;"E"&amp;TEXT(Table3[[#This Row],[Episode]],"00")</f>
        <v>S07E01</v>
      </c>
      <c r="D66" t="s">
        <v>688</v>
      </c>
      <c r="E66" t="s">
        <v>687</v>
      </c>
    </row>
    <row r="67" spans="1:5" x14ac:dyDescent="0.25">
      <c r="A67">
        <v>7</v>
      </c>
      <c r="B67">
        <v>2</v>
      </c>
      <c r="C67" t="str">
        <f>"S"&amp;TEXT(Table3[[#This Row],[Season]],"00")&amp;"E"&amp;TEXT(Table3[[#This Row],[Episode]],"00")</f>
        <v>S07E02</v>
      </c>
      <c r="D67" t="s">
        <v>686</v>
      </c>
      <c r="E67" t="s">
        <v>685</v>
      </c>
    </row>
    <row r="68" spans="1:5" x14ac:dyDescent="0.25">
      <c r="A68">
        <v>7</v>
      </c>
      <c r="B68">
        <v>3</v>
      </c>
      <c r="C68" t="str">
        <f>"S"&amp;TEXT(Table3[[#This Row],[Season]],"00")&amp;"E"&amp;TEXT(Table3[[#This Row],[Episode]],"00")</f>
        <v>S07E03</v>
      </c>
      <c r="D68" t="s">
        <v>684</v>
      </c>
      <c r="E68" t="s">
        <v>683</v>
      </c>
    </row>
    <row r="69" spans="1:5" x14ac:dyDescent="0.25">
      <c r="A69">
        <v>7</v>
      </c>
      <c r="B69">
        <v>4</v>
      </c>
      <c r="C69" t="str">
        <f>"S"&amp;TEXT(Table3[[#This Row],[Season]],"00")&amp;"E"&amp;TEXT(Table3[[#This Row],[Episode]],"00")</f>
        <v>S07E04</v>
      </c>
      <c r="D69" t="s">
        <v>682</v>
      </c>
      <c r="E69" t="s">
        <v>681</v>
      </c>
    </row>
    <row r="70" spans="1:5" x14ac:dyDescent="0.25">
      <c r="A70">
        <v>7</v>
      </c>
      <c r="B70">
        <v>5</v>
      </c>
      <c r="C70" t="str">
        <f>"S"&amp;TEXT(Table3[[#This Row],[Season]],"00")&amp;"E"&amp;TEXT(Table3[[#This Row],[Episode]],"00")</f>
        <v>S07E05</v>
      </c>
      <c r="D70" t="s">
        <v>680</v>
      </c>
      <c r="E70" t="s">
        <v>679</v>
      </c>
    </row>
    <row r="71" spans="1:5" x14ac:dyDescent="0.25">
      <c r="A71">
        <v>7</v>
      </c>
      <c r="B71">
        <v>6</v>
      </c>
      <c r="C71" t="str">
        <f>"S"&amp;TEXT(Table3[[#This Row],[Season]],"00")&amp;"E"&amp;TEXT(Table3[[#This Row],[Episode]],"00")</f>
        <v>S07E06</v>
      </c>
      <c r="D71" t="s">
        <v>678</v>
      </c>
      <c r="E71" t="s">
        <v>677</v>
      </c>
    </row>
    <row r="72" spans="1:5" x14ac:dyDescent="0.25">
      <c r="A72">
        <v>7</v>
      </c>
      <c r="B72">
        <v>7</v>
      </c>
      <c r="C72" t="str">
        <f>"S"&amp;TEXT(Table3[[#This Row],[Season]],"00")&amp;"E"&amp;TEXT(Table3[[#This Row],[Episode]],"00")</f>
        <v>S07E07</v>
      </c>
      <c r="D72" t="s">
        <v>676</v>
      </c>
      <c r="E72" t="s">
        <v>675</v>
      </c>
    </row>
    <row r="73" spans="1:5" x14ac:dyDescent="0.25">
      <c r="A73">
        <v>7</v>
      </c>
      <c r="B73">
        <v>8</v>
      </c>
      <c r="C73" t="str">
        <f>"S"&amp;TEXT(Table3[[#This Row],[Season]],"00")&amp;"E"&amp;TEXT(Table3[[#This Row],[Episode]],"00")</f>
        <v>S07E08</v>
      </c>
      <c r="D73" t="s">
        <v>674</v>
      </c>
      <c r="E73" t="s">
        <v>673</v>
      </c>
    </row>
    <row r="74" spans="1:5" x14ac:dyDescent="0.25">
      <c r="A74">
        <v>7</v>
      </c>
      <c r="B74">
        <v>9</v>
      </c>
      <c r="C74" t="str">
        <f>"S"&amp;TEXT(Table3[[#This Row],[Season]],"00")&amp;"E"&amp;TEXT(Table3[[#This Row],[Episode]],"00")</f>
        <v>S07E09</v>
      </c>
      <c r="D74" t="s">
        <v>672</v>
      </c>
      <c r="E74" t="s">
        <v>671</v>
      </c>
    </row>
    <row r="75" spans="1:5" x14ac:dyDescent="0.25">
      <c r="A75">
        <v>7</v>
      </c>
      <c r="B75">
        <v>10</v>
      </c>
      <c r="C75" t="str">
        <f>"S"&amp;TEXT(Table3[[#This Row],[Season]],"00")&amp;"E"&amp;TEXT(Table3[[#This Row],[Episode]],"00")</f>
        <v>S07E10</v>
      </c>
      <c r="D75" t="s">
        <v>670</v>
      </c>
      <c r="E75" t="s">
        <v>669</v>
      </c>
    </row>
    <row r="76" spans="1:5" x14ac:dyDescent="0.25">
      <c r="A76">
        <v>7</v>
      </c>
      <c r="B76">
        <v>11</v>
      </c>
      <c r="C76" t="str">
        <f>"S"&amp;TEXT(Table3[[#This Row],[Season]],"00")&amp;"E"&amp;TEXT(Table3[[#This Row],[Episode]],"00")</f>
        <v>S07E11</v>
      </c>
      <c r="D76" t="s">
        <v>668</v>
      </c>
      <c r="E76" t="s">
        <v>667</v>
      </c>
    </row>
    <row r="77" spans="1:5" x14ac:dyDescent="0.25">
      <c r="A77">
        <v>7</v>
      </c>
      <c r="B77">
        <v>12</v>
      </c>
      <c r="C77" t="str">
        <f>"S"&amp;TEXT(Table3[[#This Row],[Season]],"00")&amp;"E"&amp;TEXT(Table3[[#This Row],[Episode]],"00")</f>
        <v>S07E12</v>
      </c>
      <c r="D77" t="s">
        <v>666</v>
      </c>
      <c r="E77" t="s">
        <v>665</v>
      </c>
    </row>
    <row r="78" spans="1:5" x14ac:dyDescent="0.25">
      <c r="A78">
        <v>8</v>
      </c>
      <c r="B78">
        <v>1</v>
      </c>
      <c r="C78" t="str">
        <f>"S"&amp;TEXT(Table3[[#This Row],[Season]],"00")&amp;"E"&amp;TEXT(Table3[[#This Row],[Episode]],"00")</f>
        <v>S08E01</v>
      </c>
      <c r="D78" t="s">
        <v>664</v>
      </c>
      <c r="E78" t="s">
        <v>663</v>
      </c>
    </row>
    <row r="79" spans="1:5" x14ac:dyDescent="0.25">
      <c r="A79">
        <v>8</v>
      </c>
      <c r="B79">
        <v>2</v>
      </c>
      <c r="C79" t="str">
        <f>"S"&amp;TEXT(Table3[[#This Row],[Season]],"00")&amp;"E"&amp;TEXT(Table3[[#This Row],[Episode]],"00")</f>
        <v>S08E02</v>
      </c>
      <c r="D79" t="s">
        <v>662</v>
      </c>
      <c r="E79" t="s">
        <v>661</v>
      </c>
    </row>
    <row r="80" spans="1:5" x14ac:dyDescent="0.25">
      <c r="A80">
        <v>8</v>
      </c>
      <c r="B80">
        <v>3</v>
      </c>
      <c r="C80" t="str">
        <f>"S"&amp;TEXT(Table3[[#This Row],[Season]],"00")&amp;"E"&amp;TEXT(Table3[[#This Row],[Episode]],"00")</f>
        <v>S08E03</v>
      </c>
      <c r="D80" t="s">
        <v>660</v>
      </c>
      <c r="E80" t="s">
        <v>659</v>
      </c>
    </row>
    <row r="81" spans="1:5" x14ac:dyDescent="0.25">
      <c r="A81">
        <v>8</v>
      </c>
      <c r="B81">
        <v>4</v>
      </c>
      <c r="C81" t="str">
        <f>"S"&amp;TEXT(Table3[[#This Row],[Season]],"00")&amp;"E"&amp;TEXT(Table3[[#This Row],[Episode]],"00")</f>
        <v>S08E04</v>
      </c>
      <c r="D81" t="s">
        <v>658</v>
      </c>
      <c r="E81" t="s">
        <v>657</v>
      </c>
    </row>
    <row r="82" spans="1:5" x14ac:dyDescent="0.25">
      <c r="A82">
        <v>8</v>
      </c>
      <c r="B82">
        <v>5</v>
      </c>
      <c r="C82" t="str">
        <f>"S"&amp;TEXT(Table3[[#This Row],[Season]],"00")&amp;"E"&amp;TEXT(Table3[[#This Row],[Episode]],"00")</f>
        <v>S08E05</v>
      </c>
      <c r="D82" t="s">
        <v>656</v>
      </c>
      <c r="E82" t="s">
        <v>655</v>
      </c>
    </row>
    <row r="83" spans="1:5" x14ac:dyDescent="0.25">
      <c r="A83">
        <v>8</v>
      </c>
      <c r="B83">
        <v>6</v>
      </c>
      <c r="C83" t="str">
        <f>"S"&amp;TEXT(Table3[[#This Row],[Season]],"00")&amp;"E"&amp;TEXT(Table3[[#This Row],[Episode]],"00")</f>
        <v>S08E06</v>
      </c>
      <c r="D83" t="s">
        <v>654</v>
      </c>
      <c r="E83" t="s">
        <v>653</v>
      </c>
    </row>
    <row r="84" spans="1:5" x14ac:dyDescent="0.25">
      <c r="A84">
        <v>8</v>
      </c>
      <c r="B84">
        <v>7</v>
      </c>
      <c r="C84" t="str">
        <f>"S"&amp;TEXT(Table3[[#This Row],[Season]],"00")&amp;"E"&amp;TEXT(Table3[[#This Row],[Episode]],"00")</f>
        <v>S08E07</v>
      </c>
      <c r="D84" t="s">
        <v>652</v>
      </c>
      <c r="E84" t="s">
        <v>651</v>
      </c>
    </row>
    <row r="85" spans="1:5" x14ac:dyDescent="0.25">
      <c r="A85">
        <v>8</v>
      </c>
      <c r="B85">
        <v>8</v>
      </c>
      <c r="C85" t="str">
        <f>"S"&amp;TEXT(Table3[[#This Row],[Season]],"00")&amp;"E"&amp;TEXT(Table3[[#This Row],[Episode]],"00")</f>
        <v>S08E08</v>
      </c>
      <c r="D85" t="s">
        <v>650</v>
      </c>
      <c r="E85" t="s">
        <v>649</v>
      </c>
    </row>
    <row r="86" spans="1:5" x14ac:dyDescent="0.25">
      <c r="A86">
        <v>8</v>
      </c>
      <c r="B86">
        <v>9</v>
      </c>
      <c r="C86" t="str">
        <f>"S"&amp;TEXT(Table3[[#This Row],[Season]],"00")&amp;"E"&amp;TEXT(Table3[[#This Row],[Episode]],"00")</f>
        <v>S08E09</v>
      </c>
      <c r="D86" t="s">
        <v>648</v>
      </c>
      <c r="E86" t="s">
        <v>647</v>
      </c>
    </row>
    <row r="87" spans="1:5" x14ac:dyDescent="0.25">
      <c r="A87">
        <v>8</v>
      </c>
      <c r="B87">
        <v>10</v>
      </c>
      <c r="C87" t="str">
        <f>"S"&amp;TEXT(Table3[[#This Row],[Season]],"00")&amp;"E"&amp;TEXT(Table3[[#This Row],[Episode]],"00")</f>
        <v>S08E10</v>
      </c>
      <c r="D87" t="s">
        <v>646</v>
      </c>
      <c r="E87" t="s">
        <v>645</v>
      </c>
    </row>
    <row r="88" spans="1:5" x14ac:dyDescent="0.25">
      <c r="A88">
        <v>8</v>
      </c>
      <c r="B88">
        <v>11</v>
      </c>
      <c r="C88" t="str">
        <f>"S"&amp;TEXT(Table3[[#This Row],[Season]],"00")&amp;"E"&amp;TEXT(Table3[[#This Row],[Episode]],"00")</f>
        <v>S08E11</v>
      </c>
      <c r="D88" t="s">
        <v>644</v>
      </c>
      <c r="E88" t="s">
        <v>643</v>
      </c>
    </row>
    <row r="89" spans="1:5" x14ac:dyDescent="0.25">
      <c r="A89">
        <v>8</v>
      </c>
      <c r="B89">
        <v>12</v>
      </c>
      <c r="C89" t="str">
        <f>"S"&amp;TEXT(Table3[[#This Row],[Season]],"00")&amp;"E"&amp;TEXT(Table3[[#This Row],[Episode]],"00")</f>
        <v>S08E12</v>
      </c>
      <c r="D89" t="s">
        <v>642</v>
      </c>
      <c r="E89" t="s">
        <v>641</v>
      </c>
    </row>
    <row r="90" spans="1:5" x14ac:dyDescent="0.25">
      <c r="A90">
        <v>9</v>
      </c>
      <c r="B90">
        <v>1</v>
      </c>
      <c r="C90" t="str">
        <f>"S"&amp;TEXT(Table3[[#This Row],[Season]],"00")&amp;"E"&amp;TEXT(Table3[[#This Row],[Episode]],"00")</f>
        <v>S09E01</v>
      </c>
      <c r="D90" t="s">
        <v>640</v>
      </c>
      <c r="E90" t="s">
        <v>639</v>
      </c>
    </row>
    <row r="91" spans="1:5" x14ac:dyDescent="0.25">
      <c r="A91">
        <v>9</v>
      </c>
      <c r="B91">
        <v>2</v>
      </c>
      <c r="C91" t="str">
        <f>"S"&amp;TEXT(Table3[[#This Row],[Season]],"00")&amp;"E"&amp;TEXT(Table3[[#This Row],[Episode]],"00")</f>
        <v>S09E02</v>
      </c>
      <c r="D91" t="s">
        <v>638</v>
      </c>
      <c r="E91" t="s">
        <v>637</v>
      </c>
    </row>
    <row r="92" spans="1:5" x14ac:dyDescent="0.25">
      <c r="A92">
        <v>9</v>
      </c>
      <c r="B92">
        <v>3</v>
      </c>
      <c r="C92" t="str">
        <f>"S"&amp;TEXT(Table3[[#This Row],[Season]],"00")&amp;"E"&amp;TEXT(Table3[[#This Row],[Episode]],"00")</f>
        <v>S09E03</v>
      </c>
      <c r="D92" t="s">
        <v>636</v>
      </c>
      <c r="E92" t="s">
        <v>635</v>
      </c>
    </row>
    <row r="93" spans="1:5" x14ac:dyDescent="0.25">
      <c r="A93">
        <v>9</v>
      </c>
      <c r="B93">
        <v>4</v>
      </c>
      <c r="C93" t="str">
        <f>"S"&amp;TEXT(Table3[[#This Row],[Season]],"00")&amp;"E"&amp;TEXT(Table3[[#This Row],[Episode]],"00")</f>
        <v>S09E04</v>
      </c>
      <c r="D93" t="s">
        <v>634</v>
      </c>
      <c r="E93" t="s">
        <v>633</v>
      </c>
    </row>
    <row r="94" spans="1:5" x14ac:dyDescent="0.25">
      <c r="A94">
        <v>9</v>
      </c>
      <c r="B94">
        <v>5</v>
      </c>
      <c r="C94" t="str">
        <f>"S"&amp;TEXT(Table3[[#This Row],[Season]],"00")&amp;"E"&amp;TEXT(Table3[[#This Row],[Episode]],"00")</f>
        <v>S09E05</v>
      </c>
      <c r="D94" t="s">
        <v>632</v>
      </c>
      <c r="E94" t="s">
        <v>631</v>
      </c>
    </row>
    <row r="95" spans="1:5" x14ac:dyDescent="0.25">
      <c r="A95">
        <v>9</v>
      </c>
      <c r="B95">
        <v>6</v>
      </c>
      <c r="C95" t="str">
        <f>"S"&amp;TEXT(Table3[[#This Row],[Season]],"00")&amp;"E"&amp;TEXT(Table3[[#This Row],[Episode]],"00")</f>
        <v>S09E06</v>
      </c>
      <c r="D95" t="s">
        <v>630</v>
      </c>
      <c r="E95" t="s">
        <v>629</v>
      </c>
    </row>
    <row r="96" spans="1:5" x14ac:dyDescent="0.25">
      <c r="A96">
        <v>9</v>
      </c>
      <c r="B96">
        <v>7</v>
      </c>
      <c r="C96" t="str">
        <f>"S"&amp;TEXT(Table3[[#This Row],[Season]],"00")&amp;"E"&amp;TEXT(Table3[[#This Row],[Episode]],"00")</f>
        <v>S09E07</v>
      </c>
      <c r="D96" t="s">
        <v>628</v>
      </c>
      <c r="E96" t="s">
        <v>627</v>
      </c>
    </row>
    <row r="97" spans="1:5" x14ac:dyDescent="0.25">
      <c r="A97">
        <v>9</v>
      </c>
      <c r="B97">
        <v>8</v>
      </c>
      <c r="C97" t="str">
        <f>"S"&amp;TEXT(Table3[[#This Row],[Season]],"00")&amp;"E"&amp;TEXT(Table3[[#This Row],[Episode]],"00")</f>
        <v>S09E08</v>
      </c>
      <c r="D97" t="s">
        <v>626</v>
      </c>
      <c r="E97" t="s">
        <v>625</v>
      </c>
    </row>
    <row r="98" spans="1:5" x14ac:dyDescent="0.25">
      <c r="A98">
        <v>9</v>
      </c>
      <c r="B98">
        <v>9</v>
      </c>
      <c r="C98" t="str">
        <f>"S"&amp;TEXT(Table3[[#This Row],[Season]],"00")&amp;"E"&amp;TEXT(Table3[[#This Row],[Episode]],"00")</f>
        <v>S09E09</v>
      </c>
      <c r="D98" t="s">
        <v>624</v>
      </c>
      <c r="E98" t="s">
        <v>623</v>
      </c>
    </row>
    <row r="99" spans="1:5" x14ac:dyDescent="0.25">
      <c r="A99">
        <v>9</v>
      </c>
      <c r="B99">
        <v>10</v>
      </c>
      <c r="C99" t="str">
        <f>"S"&amp;TEXT(Table3[[#This Row],[Season]],"00")&amp;"E"&amp;TEXT(Table3[[#This Row],[Episode]],"00")</f>
        <v>S09E10</v>
      </c>
      <c r="D99" t="s">
        <v>622</v>
      </c>
      <c r="E99" t="s">
        <v>621</v>
      </c>
    </row>
    <row r="100" spans="1:5" x14ac:dyDescent="0.25">
      <c r="A100">
        <v>9</v>
      </c>
      <c r="B100">
        <v>11</v>
      </c>
      <c r="C100" t="str">
        <f>"S"&amp;TEXT(Table3[[#This Row],[Season]],"00")&amp;"E"&amp;TEXT(Table3[[#This Row],[Episode]],"00")</f>
        <v>S09E11</v>
      </c>
      <c r="D100" t="s">
        <v>620</v>
      </c>
      <c r="E100" t="s">
        <v>619</v>
      </c>
    </row>
    <row r="101" spans="1:5" x14ac:dyDescent="0.25">
      <c r="A101">
        <v>9</v>
      </c>
      <c r="B101">
        <v>12</v>
      </c>
      <c r="C101" t="str">
        <f>"S"&amp;TEXT(Table3[[#This Row],[Season]],"00")&amp;"E"&amp;TEXT(Table3[[#This Row],[Episode]],"00")</f>
        <v>S09E12</v>
      </c>
      <c r="D101" t="s">
        <v>618</v>
      </c>
      <c r="E101" t="s">
        <v>617</v>
      </c>
    </row>
    <row r="102" spans="1:5" x14ac:dyDescent="0.25">
      <c r="A102">
        <v>9</v>
      </c>
      <c r="B102">
        <v>13</v>
      </c>
      <c r="C102" t="str">
        <f>"S"&amp;TEXT(Table3[[#This Row],[Season]],"00")&amp;"E"&amp;TEXT(Table3[[#This Row],[Episode]],"00")</f>
        <v>S09E13</v>
      </c>
      <c r="D102" t="s">
        <v>616</v>
      </c>
      <c r="E102" t="s">
        <v>615</v>
      </c>
    </row>
    <row r="103" spans="1:5" x14ac:dyDescent="0.25">
      <c r="A103">
        <v>10</v>
      </c>
      <c r="B103">
        <v>1</v>
      </c>
      <c r="C103" t="str">
        <f>"S"&amp;TEXT(Table3[[#This Row],[Season]],"00")&amp;"E"&amp;TEXT(Table3[[#This Row],[Episode]],"00")</f>
        <v>S10E01</v>
      </c>
      <c r="D103" t="s">
        <v>614</v>
      </c>
      <c r="E103" t="s">
        <v>613</v>
      </c>
    </row>
    <row r="104" spans="1:5" x14ac:dyDescent="0.25">
      <c r="A104">
        <v>10</v>
      </c>
      <c r="B104">
        <v>2</v>
      </c>
      <c r="C104" t="str">
        <f>"S"&amp;TEXT(Table3[[#This Row],[Season]],"00")&amp;"E"&amp;TEXT(Table3[[#This Row],[Episode]],"00")</f>
        <v>S10E02</v>
      </c>
      <c r="D104" t="s">
        <v>612</v>
      </c>
      <c r="E104" t="s">
        <v>611</v>
      </c>
    </row>
    <row r="105" spans="1:5" x14ac:dyDescent="0.25">
      <c r="A105">
        <v>10</v>
      </c>
      <c r="B105">
        <v>3</v>
      </c>
      <c r="C105" t="str">
        <f>"S"&amp;TEXT(Table3[[#This Row],[Season]],"00")&amp;"E"&amp;TEXT(Table3[[#This Row],[Episode]],"00")</f>
        <v>S10E03</v>
      </c>
      <c r="D105" t="s">
        <v>610</v>
      </c>
      <c r="E105" t="s">
        <v>609</v>
      </c>
    </row>
    <row r="106" spans="1:5" x14ac:dyDescent="0.25">
      <c r="A106">
        <v>10</v>
      </c>
      <c r="B106">
        <v>4</v>
      </c>
      <c r="C106" t="str">
        <f>"S"&amp;TEXT(Table3[[#This Row],[Season]],"00")&amp;"E"&amp;TEXT(Table3[[#This Row],[Episode]],"00")</f>
        <v>S10E04</v>
      </c>
      <c r="D106" t="s">
        <v>608</v>
      </c>
      <c r="E106" t="s">
        <v>607</v>
      </c>
    </row>
    <row r="107" spans="1:5" x14ac:dyDescent="0.25">
      <c r="A107">
        <v>10</v>
      </c>
      <c r="B107">
        <v>5</v>
      </c>
      <c r="C107" t="str">
        <f>"S"&amp;TEXT(Table3[[#This Row],[Season]],"00")&amp;"E"&amp;TEXT(Table3[[#This Row],[Episode]],"00")</f>
        <v>S10E05</v>
      </c>
      <c r="D107" t="s">
        <v>606</v>
      </c>
      <c r="E107" t="s">
        <v>605</v>
      </c>
    </row>
    <row r="108" spans="1:5" x14ac:dyDescent="0.25">
      <c r="A108">
        <v>10</v>
      </c>
      <c r="B108">
        <v>6</v>
      </c>
      <c r="C108" t="str">
        <f>"S"&amp;TEXT(Table3[[#This Row],[Season]],"00")&amp;"E"&amp;TEXT(Table3[[#This Row],[Episode]],"00")</f>
        <v>S10E06</v>
      </c>
      <c r="D108" t="s">
        <v>604</v>
      </c>
      <c r="E108" t="s">
        <v>603</v>
      </c>
    </row>
    <row r="109" spans="1:5" x14ac:dyDescent="0.25">
      <c r="A109">
        <v>10</v>
      </c>
      <c r="B109">
        <v>7</v>
      </c>
      <c r="C109" t="str">
        <f>"S"&amp;TEXT(Table3[[#This Row],[Season]],"00")&amp;"E"&amp;TEXT(Table3[[#This Row],[Episode]],"00")</f>
        <v>S10E07</v>
      </c>
      <c r="D109" t="s">
        <v>602</v>
      </c>
      <c r="E109" t="s">
        <v>601</v>
      </c>
    </row>
    <row r="110" spans="1:5" x14ac:dyDescent="0.25">
      <c r="A110">
        <v>10</v>
      </c>
      <c r="B110">
        <v>8</v>
      </c>
      <c r="C110" t="str">
        <f>"S"&amp;TEXT(Table3[[#This Row],[Season]],"00")&amp;"E"&amp;TEXT(Table3[[#This Row],[Episode]],"00")</f>
        <v>S10E08</v>
      </c>
      <c r="D110" t="s">
        <v>600</v>
      </c>
      <c r="E110" t="s">
        <v>599</v>
      </c>
    </row>
    <row r="111" spans="1:5" x14ac:dyDescent="0.25">
      <c r="A111">
        <v>10</v>
      </c>
      <c r="B111">
        <v>9</v>
      </c>
      <c r="C111" t="str">
        <f>"S"&amp;TEXT(Table3[[#This Row],[Season]],"00")&amp;"E"&amp;TEXT(Table3[[#This Row],[Episode]],"00")</f>
        <v>S10E09</v>
      </c>
      <c r="D111" t="s">
        <v>598</v>
      </c>
      <c r="E111" t="s">
        <v>597</v>
      </c>
    </row>
    <row r="112" spans="1:5" x14ac:dyDescent="0.25">
      <c r="A112">
        <v>10</v>
      </c>
      <c r="B112">
        <v>10</v>
      </c>
      <c r="C112" t="str">
        <f>"S"&amp;TEXT(Table3[[#This Row],[Season]],"00")&amp;"E"&amp;TEXT(Table3[[#This Row],[Episode]],"00")</f>
        <v>S10E10</v>
      </c>
      <c r="D112" t="s">
        <v>596</v>
      </c>
      <c r="E112" t="s">
        <v>595</v>
      </c>
    </row>
    <row r="113" spans="1:5" x14ac:dyDescent="0.25">
      <c r="A113">
        <v>10</v>
      </c>
      <c r="B113">
        <v>11</v>
      </c>
      <c r="C113" t="str">
        <f>"S"&amp;TEXT(Table3[[#This Row],[Season]],"00")&amp;"E"&amp;TEXT(Table3[[#This Row],[Episode]],"00")</f>
        <v>S10E11</v>
      </c>
      <c r="D113" t="s">
        <v>594</v>
      </c>
      <c r="E113" t="s">
        <v>593</v>
      </c>
    </row>
    <row r="114" spans="1:5" x14ac:dyDescent="0.25">
      <c r="A114">
        <v>10</v>
      </c>
      <c r="B114">
        <v>12</v>
      </c>
      <c r="C114" t="str">
        <f>"S"&amp;TEXT(Table3[[#This Row],[Season]],"00")&amp;"E"&amp;TEXT(Table3[[#This Row],[Episode]],"00")</f>
        <v>S10E12</v>
      </c>
      <c r="D114" t="s">
        <v>592</v>
      </c>
      <c r="E114" t="s">
        <v>591</v>
      </c>
    </row>
    <row r="115" spans="1:5" x14ac:dyDescent="0.25">
      <c r="A115">
        <v>10</v>
      </c>
      <c r="B115">
        <v>13</v>
      </c>
      <c r="C115" t="str">
        <f>"S"&amp;TEXT(Table3[[#This Row],[Season]],"00")&amp;"E"&amp;TEXT(Table3[[#This Row],[Episode]],"00")</f>
        <v>S10E13</v>
      </c>
      <c r="D115" t="s">
        <v>590</v>
      </c>
      <c r="E115" t="s">
        <v>589</v>
      </c>
    </row>
    <row r="116" spans="1:5" x14ac:dyDescent="0.25">
      <c r="A116">
        <v>10</v>
      </c>
      <c r="B116">
        <v>14</v>
      </c>
      <c r="C116" t="str">
        <f>"S"&amp;TEXT(Table3[[#This Row],[Season]],"00")&amp;"E"&amp;TEXT(Table3[[#This Row],[Episode]],"00")</f>
        <v>S10E14</v>
      </c>
      <c r="D116" t="s">
        <v>588</v>
      </c>
      <c r="E116" t="s">
        <v>587</v>
      </c>
    </row>
    <row r="117" spans="1:5" x14ac:dyDescent="0.25">
      <c r="A117">
        <v>11</v>
      </c>
      <c r="B117">
        <v>1</v>
      </c>
      <c r="C117" t="str">
        <f>"S"&amp;TEXT(Table3[[#This Row],[Season]],"00")&amp;"E"&amp;TEXT(Table3[[#This Row],[Episode]],"00")</f>
        <v>S11E01</v>
      </c>
      <c r="D117" t="s">
        <v>586</v>
      </c>
      <c r="E117" t="s">
        <v>585</v>
      </c>
    </row>
    <row r="118" spans="1:5" x14ac:dyDescent="0.25">
      <c r="A118">
        <v>11</v>
      </c>
      <c r="B118">
        <v>2</v>
      </c>
      <c r="C118" t="str">
        <f>"S"&amp;TEXT(Table3[[#This Row],[Season]],"00")&amp;"E"&amp;TEXT(Table3[[#This Row],[Episode]],"00")</f>
        <v>S11E02</v>
      </c>
      <c r="D118" t="s">
        <v>584</v>
      </c>
      <c r="E118" t="s">
        <v>583</v>
      </c>
    </row>
    <row r="119" spans="1:5" x14ac:dyDescent="0.25">
      <c r="A119">
        <v>11</v>
      </c>
      <c r="B119">
        <v>3</v>
      </c>
      <c r="C119" t="str">
        <f>"S"&amp;TEXT(Table3[[#This Row],[Season]],"00")&amp;"E"&amp;TEXT(Table3[[#This Row],[Episode]],"00")</f>
        <v>S11E03</v>
      </c>
      <c r="D119" t="s">
        <v>582</v>
      </c>
      <c r="E119" t="s">
        <v>581</v>
      </c>
    </row>
    <row r="120" spans="1:5" x14ac:dyDescent="0.25">
      <c r="A120">
        <v>11</v>
      </c>
      <c r="B120">
        <v>4</v>
      </c>
      <c r="C120" t="str">
        <f>"S"&amp;TEXT(Table3[[#This Row],[Season]],"00")&amp;"E"&amp;TEXT(Table3[[#This Row],[Episode]],"00")</f>
        <v>S11E04</v>
      </c>
      <c r="D120" t="s">
        <v>580</v>
      </c>
      <c r="E120" t="s">
        <v>579</v>
      </c>
    </row>
    <row r="121" spans="1:5" x14ac:dyDescent="0.25">
      <c r="A121">
        <v>11</v>
      </c>
      <c r="B121">
        <v>5</v>
      </c>
      <c r="C121" t="str">
        <f>"S"&amp;TEXT(Table3[[#This Row],[Season]],"00")&amp;"E"&amp;TEXT(Table3[[#This Row],[Episode]],"00")</f>
        <v>S11E05</v>
      </c>
      <c r="D121" t="s">
        <v>578</v>
      </c>
      <c r="E121" t="s">
        <v>577</v>
      </c>
    </row>
    <row r="122" spans="1:5" x14ac:dyDescent="0.25">
      <c r="A122">
        <v>11</v>
      </c>
      <c r="B122">
        <v>6</v>
      </c>
      <c r="C122" t="str">
        <f>"S"&amp;TEXT(Table3[[#This Row],[Season]],"00")&amp;"E"&amp;TEXT(Table3[[#This Row],[Episode]],"00")</f>
        <v>S11E06</v>
      </c>
      <c r="D122" t="s">
        <v>576</v>
      </c>
      <c r="E122" t="s">
        <v>575</v>
      </c>
    </row>
    <row r="123" spans="1:5" x14ac:dyDescent="0.25">
      <c r="A123">
        <v>11</v>
      </c>
      <c r="B123">
        <v>7</v>
      </c>
      <c r="C123" t="str">
        <f>"S"&amp;TEXT(Table3[[#This Row],[Season]],"00")&amp;"E"&amp;TEXT(Table3[[#This Row],[Episode]],"00")</f>
        <v>S11E07</v>
      </c>
      <c r="D123" t="s">
        <v>574</v>
      </c>
      <c r="E123" t="s">
        <v>573</v>
      </c>
    </row>
    <row r="124" spans="1:5" x14ac:dyDescent="0.25">
      <c r="A124">
        <v>11</v>
      </c>
      <c r="B124">
        <v>8</v>
      </c>
      <c r="C124" t="str">
        <f>"S"&amp;TEXT(Table3[[#This Row],[Season]],"00")&amp;"E"&amp;TEXT(Table3[[#This Row],[Episode]],"00")</f>
        <v>S11E08</v>
      </c>
      <c r="D124" t="s">
        <v>572</v>
      </c>
      <c r="E124" t="s">
        <v>571</v>
      </c>
    </row>
    <row r="125" spans="1:5" x14ac:dyDescent="0.25">
      <c r="A125">
        <v>11</v>
      </c>
      <c r="B125">
        <v>9</v>
      </c>
      <c r="C125" t="str">
        <f>"S"&amp;TEXT(Table3[[#This Row],[Season]],"00")&amp;"E"&amp;TEXT(Table3[[#This Row],[Episode]],"00")</f>
        <v>S11E09</v>
      </c>
      <c r="D125" t="s">
        <v>570</v>
      </c>
      <c r="E125" t="s">
        <v>569</v>
      </c>
    </row>
    <row r="126" spans="1:5" x14ac:dyDescent="0.25">
      <c r="A126">
        <v>11</v>
      </c>
      <c r="B126">
        <v>10</v>
      </c>
      <c r="C126" t="str">
        <f>"S"&amp;TEXT(Table3[[#This Row],[Season]],"00")&amp;"E"&amp;TEXT(Table3[[#This Row],[Episode]],"00")</f>
        <v>S11E10</v>
      </c>
      <c r="D126" t="s">
        <v>568</v>
      </c>
      <c r="E126" t="s">
        <v>567</v>
      </c>
    </row>
    <row r="127" spans="1:5" x14ac:dyDescent="0.25">
      <c r="A127">
        <v>11</v>
      </c>
      <c r="B127">
        <v>11</v>
      </c>
      <c r="C127" t="str">
        <f>"S"&amp;TEXT(Table3[[#This Row],[Season]],"00")&amp;"E"&amp;TEXT(Table3[[#This Row],[Episode]],"00")</f>
        <v>S11E11</v>
      </c>
      <c r="D127" t="s">
        <v>566</v>
      </c>
      <c r="E127" t="s">
        <v>565</v>
      </c>
    </row>
    <row r="128" spans="1:5" x14ac:dyDescent="0.25">
      <c r="A128">
        <v>11</v>
      </c>
      <c r="B128">
        <v>12</v>
      </c>
      <c r="C128" t="str">
        <f>"S"&amp;TEXT(Table3[[#This Row],[Season]],"00")&amp;"E"&amp;TEXT(Table3[[#This Row],[Episode]],"00")</f>
        <v>S11E12</v>
      </c>
      <c r="D128" t="s">
        <v>564</v>
      </c>
      <c r="E128" t="s">
        <v>563</v>
      </c>
    </row>
    <row r="129" spans="1:5" x14ac:dyDescent="0.25">
      <c r="A129">
        <v>12</v>
      </c>
      <c r="B129">
        <v>1</v>
      </c>
      <c r="C129" t="str">
        <f>"S"&amp;TEXT(Table3[[#This Row],[Season]],"00")&amp;"E"&amp;TEXT(Table3[[#This Row],[Episode]],"00")</f>
        <v>S12E01</v>
      </c>
      <c r="D129" t="s">
        <v>562</v>
      </c>
      <c r="E129" t="s">
        <v>561</v>
      </c>
    </row>
    <row r="130" spans="1:5" x14ac:dyDescent="0.25">
      <c r="A130">
        <v>12</v>
      </c>
      <c r="B130">
        <v>2</v>
      </c>
      <c r="C130" t="str">
        <f>"S"&amp;TEXT(Table3[[#This Row],[Season]],"00")&amp;"E"&amp;TEXT(Table3[[#This Row],[Episode]],"00")</f>
        <v>S12E02</v>
      </c>
      <c r="D130" t="s">
        <v>560</v>
      </c>
      <c r="E130" t="s">
        <v>559</v>
      </c>
    </row>
    <row r="131" spans="1:5" x14ac:dyDescent="0.25">
      <c r="A131">
        <v>12</v>
      </c>
      <c r="B131">
        <v>3</v>
      </c>
      <c r="C131" t="str">
        <f>"S"&amp;TEXT(Table3[[#This Row],[Season]],"00")&amp;"E"&amp;TEXT(Table3[[#This Row],[Episode]],"00")</f>
        <v>S12E03</v>
      </c>
      <c r="D131" t="s">
        <v>558</v>
      </c>
      <c r="E131" t="s">
        <v>557</v>
      </c>
    </row>
    <row r="132" spans="1:5" x14ac:dyDescent="0.25">
      <c r="A132">
        <v>12</v>
      </c>
      <c r="B132">
        <v>4</v>
      </c>
      <c r="C132" t="str">
        <f>"S"&amp;TEXT(Table3[[#This Row],[Season]],"00")&amp;"E"&amp;TEXT(Table3[[#This Row],[Episode]],"00")</f>
        <v>S12E04</v>
      </c>
      <c r="D132" t="s">
        <v>556</v>
      </c>
      <c r="E132" t="s">
        <v>555</v>
      </c>
    </row>
    <row r="133" spans="1:5" x14ac:dyDescent="0.25">
      <c r="A133">
        <v>12</v>
      </c>
      <c r="B133">
        <v>5</v>
      </c>
      <c r="C133" t="str">
        <f>"S"&amp;TEXT(Table3[[#This Row],[Season]],"00")&amp;"E"&amp;TEXT(Table3[[#This Row],[Episode]],"00")</f>
        <v>S12E05</v>
      </c>
      <c r="D133" t="s">
        <v>554</v>
      </c>
      <c r="E133" t="s">
        <v>553</v>
      </c>
    </row>
    <row r="134" spans="1:5" x14ac:dyDescent="0.25">
      <c r="A134">
        <v>12</v>
      </c>
      <c r="B134">
        <v>6</v>
      </c>
      <c r="C134" t="str">
        <f>"S"&amp;TEXT(Table3[[#This Row],[Season]],"00")&amp;"E"&amp;TEXT(Table3[[#This Row],[Episode]],"00")</f>
        <v>S12E06</v>
      </c>
      <c r="D134" t="s">
        <v>552</v>
      </c>
      <c r="E134" t="s">
        <v>551</v>
      </c>
    </row>
    <row r="135" spans="1:5" x14ac:dyDescent="0.25">
      <c r="A135">
        <v>12</v>
      </c>
      <c r="B135">
        <v>7</v>
      </c>
      <c r="C135" t="str">
        <f>"S"&amp;TEXT(Table3[[#This Row],[Season]],"00")&amp;"E"&amp;TEXT(Table3[[#This Row],[Episode]],"00")</f>
        <v>S12E07</v>
      </c>
      <c r="D135" t="s">
        <v>550</v>
      </c>
      <c r="E135" t="s">
        <v>549</v>
      </c>
    </row>
    <row r="136" spans="1:5" x14ac:dyDescent="0.25">
      <c r="A136">
        <v>12</v>
      </c>
      <c r="B136">
        <v>8</v>
      </c>
      <c r="C136" t="str">
        <f>"S"&amp;TEXT(Table3[[#This Row],[Season]],"00")&amp;"E"&amp;TEXT(Table3[[#This Row],[Episode]],"00")</f>
        <v>S12E08</v>
      </c>
      <c r="D136" t="s">
        <v>548</v>
      </c>
      <c r="E136" t="s">
        <v>547</v>
      </c>
    </row>
    <row r="137" spans="1:5" x14ac:dyDescent="0.25">
      <c r="A137">
        <v>12</v>
      </c>
      <c r="B137">
        <v>9</v>
      </c>
      <c r="C137" t="str">
        <f>"S"&amp;TEXT(Table3[[#This Row],[Season]],"00")&amp;"E"&amp;TEXT(Table3[[#This Row],[Episode]],"00")</f>
        <v>S12E09</v>
      </c>
      <c r="D137" t="s">
        <v>546</v>
      </c>
      <c r="E137" t="s">
        <v>545</v>
      </c>
    </row>
    <row r="138" spans="1:5" x14ac:dyDescent="0.25">
      <c r="A138">
        <v>12</v>
      </c>
      <c r="B138">
        <v>10</v>
      </c>
      <c r="C138" t="str">
        <f>"S"&amp;TEXT(Table3[[#This Row],[Season]],"00")&amp;"E"&amp;TEXT(Table3[[#This Row],[Episode]],"00")</f>
        <v>S12E10</v>
      </c>
      <c r="D138" t="s">
        <v>544</v>
      </c>
      <c r="E138" t="s">
        <v>543</v>
      </c>
    </row>
    <row r="139" spans="1:5" x14ac:dyDescent="0.25">
      <c r="A139">
        <v>12</v>
      </c>
      <c r="B139">
        <v>11</v>
      </c>
      <c r="C139" t="str">
        <f>"S"&amp;TEXT(Table3[[#This Row],[Season]],"00")&amp;"E"&amp;TEXT(Table3[[#This Row],[Episode]],"00")</f>
        <v>S12E11</v>
      </c>
      <c r="D139" t="s">
        <v>542</v>
      </c>
      <c r="E139" t="s">
        <v>541</v>
      </c>
    </row>
    <row r="140" spans="1:5" x14ac:dyDescent="0.25">
      <c r="A140">
        <v>12</v>
      </c>
      <c r="B140">
        <v>12</v>
      </c>
      <c r="C140" t="str">
        <f>"S"&amp;TEXT(Table3[[#This Row],[Season]],"00")&amp;"E"&amp;TEXT(Table3[[#This Row],[Episode]],"00")</f>
        <v>S12E12</v>
      </c>
      <c r="D140" t="s">
        <v>540</v>
      </c>
      <c r="E140" t="s">
        <v>539</v>
      </c>
    </row>
    <row r="141" spans="1:5" x14ac:dyDescent="0.25">
      <c r="A141">
        <v>13</v>
      </c>
      <c r="B141">
        <v>1</v>
      </c>
      <c r="C141" t="str">
        <f>"S"&amp;TEXT(Table3[[#This Row],[Season]],"00")&amp;"E"&amp;TEXT(Table3[[#This Row],[Episode]],"00")</f>
        <v>S13E01</v>
      </c>
      <c r="D141" t="s">
        <v>538</v>
      </c>
      <c r="E141" t="s">
        <v>537</v>
      </c>
    </row>
    <row r="142" spans="1:5" x14ac:dyDescent="0.25">
      <c r="A142">
        <v>13</v>
      </c>
      <c r="B142">
        <v>2</v>
      </c>
      <c r="C142" t="str">
        <f>"S"&amp;TEXT(Table3[[#This Row],[Season]],"00")&amp;"E"&amp;TEXT(Table3[[#This Row],[Episode]],"00")</f>
        <v>S13E02</v>
      </c>
      <c r="D142" t="s">
        <v>536</v>
      </c>
      <c r="E142" t="s">
        <v>535</v>
      </c>
    </row>
    <row r="143" spans="1:5" x14ac:dyDescent="0.25">
      <c r="A143">
        <v>13</v>
      </c>
      <c r="B143">
        <v>3</v>
      </c>
      <c r="C143" t="str">
        <f>"S"&amp;TEXT(Table3[[#This Row],[Season]],"00")&amp;"E"&amp;TEXT(Table3[[#This Row],[Episode]],"00")</f>
        <v>S13E03</v>
      </c>
      <c r="D143" t="s">
        <v>534</v>
      </c>
      <c r="E143" t="s">
        <v>533</v>
      </c>
    </row>
    <row r="144" spans="1:5" x14ac:dyDescent="0.25">
      <c r="A144">
        <v>13</v>
      </c>
      <c r="B144">
        <v>4</v>
      </c>
      <c r="C144" t="str">
        <f>"S"&amp;TEXT(Table3[[#This Row],[Season]],"00")&amp;"E"&amp;TEXT(Table3[[#This Row],[Episode]],"00")</f>
        <v>S13E04</v>
      </c>
      <c r="D144" t="s">
        <v>532</v>
      </c>
      <c r="E144" t="s">
        <v>531</v>
      </c>
    </row>
    <row r="145" spans="1:5" x14ac:dyDescent="0.25">
      <c r="A145">
        <v>13</v>
      </c>
      <c r="B145">
        <v>5</v>
      </c>
      <c r="C145" t="str">
        <f>"S"&amp;TEXT(Table3[[#This Row],[Season]],"00")&amp;"E"&amp;TEXT(Table3[[#This Row],[Episode]],"00")</f>
        <v>S13E05</v>
      </c>
      <c r="D145" t="s">
        <v>530</v>
      </c>
      <c r="E145" t="s">
        <v>529</v>
      </c>
    </row>
    <row r="146" spans="1:5" x14ac:dyDescent="0.25">
      <c r="A146">
        <v>13</v>
      </c>
      <c r="B146">
        <v>6</v>
      </c>
      <c r="C146" t="str">
        <f>"S"&amp;TEXT(Table3[[#This Row],[Season]],"00")&amp;"E"&amp;TEXT(Table3[[#This Row],[Episode]],"00")</f>
        <v>S13E06</v>
      </c>
      <c r="D146" t="s">
        <v>528</v>
      </c>
      <c r="E146" t="s">
        <v>527</v>
      </c>
    </row>
    <row r="147" spans="1:5" x14ac:dyDescent="0.25">
      <c r="A147">
        <v>13</v>
      </c>
      <c r="B147">
        <v>7</v>
      </c>
      <c r="C147" t="str">
        <f>"S"&amp;TEXT(Table3[[#This Row],[Season]],"00")&amp;"E"&amp;TEXT(Table3[[#This Row],[Episode]],"00")</f>
        <v>S13E07</v>
      </c>
      <c r="D147" t="s">
        <v>526</v>
      </c>
      <c r="E147" t="s">
        <v>525</v>
      </c>
    </row>
    <row r="148" spans="1:5" x14ac:dyDescent="0.25">
      <c r="A148">
        <v>13</v>
      </c>
      <c r="B148">
        <v>8</v>
      </c>
      <c r="C148" t="str">
        <f>"S"&amp;TEXT(Table3[[#This Row],[Season]],"00")&amp;"E"&amp;TEXT(Table3[[#This Row],[Episode]],"00")</f>
        <v>S13E08</v>
      </c>
      <c r="D148" t="s">
        <v>524</v>
      </c>
      <c r="E148" t="s">
        <v>523</v>
      </c>
    </row>
    <row r="149" spans="1:5" x14ac:dyDescent="0.25">
      <c r="A149">
        <v>13</v>
      </c>
      <c r="B149">
        <v>9</v>
      </c>
      <c r="C149" t="str">
        <f>"S"&amp;TEXT(Table3[[#This Row],[Season]],"00")&amp;"E"&amp;TEXT(Table3[[#This Row],[Episode]],"00")</f>
        <v>S13E09</v>
      </c>
      <c r="D149" t="s">
        <v>522</v>
      </c>
      <c r="E149" t="s">
        <v>521</v>
      </c>
    </row>
    <row r="150" spans="1:5" x14ac:dyDescent="0.25">
      <c r="A150">
        <v>13</v>
      </c>
      <c r="B150">
        <v>10</v>
      </c>
      <c r="C150" t="str">
        <f>"S"&amp;TEXT(Table3[[#This Row],[Season]],"00")&amp;"E"&amp;TEXT(Table3[[#This Row],[Episode]],"00")</f>
        <v>S13E10</v>
      </c>
      <c r="D150" t="s">
        <v>520</v>
      </c>
      <c r="E150" t="s">
        <v>519</v>
      </c>
    </row>
    <row r="151" spans="1:5" x14ac:dyDescent="0.25">
      <c r="A151">
        <v>13</v>
      </c>
      <c r="B151">
        <v>11</v>
      </c>
      <c r="C151" t="str">
        <f>"S"&amp;TEXT(Table3[[#This Row],[Season]],"00")&amp;"E"&amp;TEXT(Table3[[#This Row],[Episode]],"00")</f>
        <v>S13E11</v>
      </c>
      <c r="D151" t="s">
        <v>518</v>
      </c>
      <c r="E151" t="s">
        <v>517</v>
      </c>
    </row>
    <row r="152" spans="1:5" x14ac:dyDescent="0.25">
      <c r="A152">
        <v>14</v>
      </c>
      <c r="B152">
        <v>1</v>
      </c>
      <c r="C152" t="str">
        <f>"S"&amp;TEXT(Table3[[#This Row],[Season]],"00")&amp;"E"&amp;TEXT(Table3[[#This Row],[Episode]],"00")</f>
        <v>S14E01</v>
      </c>
      <c r="D152" t="s">
        <v>516</v>
      </c>
      <c r="E152" t="s">
        <v>515</v>
      </c>
    </row>
    <row r="153" spans="1:5" x14ac:dyDescent="0.25">
      <c r="A153">
        <v>14</v>
      </c>
      <c r="B153">
        <v>2</v>
      </c>
      <c r="C153" t="str">
        <f>"S"&amp;TEXT(Table3[[#This Row],[Season]],"00")&amp;"E"&amp;TEXT(Table3[[#This Row],[Episode]],"00")</f>
        <v>S14E02</v>
      </c>
      <c r="D153" t="s">
        <v>514</v>
      </c>
      <c r="E153" t="s">
        <v>513</v>
      </c>
    </row>
    <row r="154" spans="1:5" x14ac:dyDescent="0.25">
      <c r="A154">
        <v>14</v>
      </c>
      <c r="B154">
        <v>3</v>
      </c>
      <c r="C154" t="str">
        <f>"S"&amp;TEXT(Table3[[#This Row],[Season]],"00")&amp;"E"&amp;TEXT(Table3[[#This Row],[Episode]],"00")</f>
        <v>S14E03</v>
      </c>
      <c r="D154" t="s">
        <v>512</v>
      </c>
      <c r="E154" t="s">
        <v>511</v>
      </c>
    </row>
    <row r="155" spans="1:5" x14ac:dyDescent="0.25">
      <c r="A155">
        <v>14</v>
      </c>
      <c r="B155">
        <v>4</v>
      </c>
      <c r="C155" t="str">
        <f>"S"&amp;TEXT(Table3[[#This Row],[Season]],"00")&amp;"E"&amp;TEXT(Table3[[#This Row],[Episode]],"00")</f>
        <v>S14E04</v>
      </c>
      <c r="D155" t="s">
        <v>510</v>
      </c>
      <c r="E155" t="s">
        <v>509</v>
      </c>
    </row>
    <row r="156" spans="1:5" x14ac:dyDescent="0.25">
      <c r="A156">
        <v>14</v>
      </c>
      <c r="B156">
        <v>5</v>
      </c>
      <c r="C156" t="str">
        <f>"S"&amp;TEXT(Table3[[#This Row],[Season]],"00")&amp;"E"&amp;TEXT(Table3[[#This Row],[Episode]],"00")</f>
        <v>S14E05</v>
      </c>
      <c r="D156" t="s">
        <v>508</v>
      </c>
      <c r="E156" t="s">
        <v>507</v>
      </c>
    </row>
    <row r="157" spans="1:5" x14ac:dyDescent="0.25">
      <c r="A157">
        <v>14</v>
      </c>
      <c r="B157">
        <v>6</v>
      </c>
      <c r="C157" t="str">
        <f>"S"&amp;TEXT(Table3[[#This Row],[Season]],"00")&amp;"E"&amp;TEXT(Table3[[#This Row],[Episode]],"00")</f>
        <v>S14E06</v>
      </c>
      <c r="D157" t="s">
        <v>506</v>
      </c>
      <c r="E157" t="s">
        <v>505</v>
      </c>
    </row>
    <row r="158" spans="1:5" x14ac:dyDescent="0.25">
      <c r="A158">
        <v>14</v>
      </c>
      <c r="B158">
        <v>7</v>
      </c>
      <c r="C158" t="str">
        <f>"S"&amp;TEXT(Table3[[#This Row],[Season]],"00")&amp;"E"&amp;TEXT(Table3[[#This Row],[Episode]],"00")</f>
        <v>S14E07</v>
      </c>
      <c r="D158" t="s">
        <v>504</v>
      </c>
      <c r="E158" t="s">
        <v>503</v>
      </c>
    </row>
    <row r="159" spans="1:5" x14ac:dyDescent="0.25">
      <c r="A159">
        <v>14</v>
      </c>
      <c r="B159">
        <v>8</v>
      </c>
      <c r="C159" t="str">
        <f>"S"&amp;TEXT(Table3[[#This Row],[Season]],"00")&amp;"E"&amp;TEXT(Table3[[#This Row],[Episode]],"00")</f>
        <v>S14E08</v>
      </c>
      <c r="D159" t="s">
        <v>502</v>
      </c>
      <c r="E159" t="s">
        <v>501</v>
      </c>
    </row>
    <row r="160" spans="1:5" x14ac:dyDescent="0.25">
      <c r="A160">
        <v>14</v>
      </c>
      <c r="B160">
        <v>9</v>
      </c>
      <c r="C160" t="str">
        <f>"S"&amp;TEXT(Table3[[#This Row],[Season]],"00")&amp;"E"&amp;TEXT(Table3[[#This Row],[Episode]],"00")</f>
        <v>S14E09</v>
      </c>
      <c r="D160" t="s">
        <v>500</v>
      </c>
      <c r="E160" t="s">
        <v>499</v>
      </c>
    </row>
    <row r="161" spans="1:5" x14ac:dyDescent="0.25">
      <c r="A161">
        <v>14</v>
      </c>
      <c r="B161">
        <v>10</v>
      </c>
      <c r="C161" t="str">
        <f>"S"&amp;TEXT(Table3[[#This Row],[Season]],"00")&amp;"E"&amp;TEXT(Table3[[#This Row],[Episode]],"00")</f>
        <v>S14E10</v>
      </c>
      <c r="D161" t="s">
        <v>498</v>
      </c>
      <c r="E161" t="s">
        <v>497</v>
      </c>
    </row>
    <row r="162" spans="1:5" x14ac:dyDescent="0.25">
      <c r="A162">
        <v>15</v>
      </c>
      <c r="B162">
        <v>1</v>
      </c>
      <c r="C162" t="str">
        <f>"S"&amp;TEXT(Table3[[#This Row],[Season]],"00")&amp;"E"&amp;TEXT(Table3[[#This Row],[Episode]],"00")</f>
        <v>S15E01</v>
      </c>
      <c r="D162" t="s">
        <v>496</v>
      </c>
      <c r="E162" t="s">
        <v>495</v>
      </c>
    </row>
    <row r="163" spans="1:5" x14ac:dyDescent="0.25">
      <c r="A163">
        <v>15</v>
      </c>
      <c r="B163">
        <v>2</v>
      </c>
      <c r="C163" t="str">
        <f>"S"&amp;TEXT(Table3[[#This Row],[Season]],"00")&amp;"E"&amp;TEXT(Table3[[#This Row],[Episode]],"00")</f>
        <v>S15E02</v>
      </c>
      <c r="D163" t="s">
        <v>494</v>
      </c>
      <c r="E163" t="s">
        <v>493</v>
      </c>
    </row>
    <row r="164" spans="1:5" x14ac:dyDescent="0.25">
      <c r="A164">
        <v>15</v>
      </c>
      <c r="B164">
        <v>3</v>
      </c>
      <c r="C164" t="str">
        <f>"S"&amp;TEXT(Table3[[#This Row],[Season]],"00")&amp;"E"&amp;TEXT(Table3[[#This Row],[Episode]],"00")</f>
        <v>S15E03</v>
      </c>
      <c r="D164" t="s">
        <v>492</v>
      </c>
      <c r="E164" t="s">
        <v>491</v>
      </c>
    </row>
    <row r="165" spans="1:5" x14ac:dyDescent="0.25">
      <c r="A165">
        <v>15</v>
      </c>
      <c r="B165">
        <v>4</v>
      </c>
      <c r="C165" t="str">
        <f>"S"&amp;TEXT(Table3[[#This Row],[Season]],"00")&amp;"E"&amp;TEXT(Table3[[#This Row],[Episode]],"00")</f>
        <v>S15E04</v>
      </c>
      <c r="D165" t="s">
        <v>490</v>
      </c>
      <c r="E165" t="s">
        <v>489</v>
      </c>
    </row>
    <row r="166" spans="1:5" x14ac:dyDescent="0.25">
      <c r="A166">
        <v>16</v>
      </c>
      <c r="B166">
        <v>1</v>
      </c>
      <c r="C166" t="str">
        <f>"S"&amp;TEXT(Table3[[#This Row],[Season]],"00")&amp;"E"&amp;TEXT(Table3[[#This Row],[Episode]],"00")</f>
        <v>S16E01</v>
      </c>
      <c r="D166" t="s">
        <v>488</v>
      </c>
      <c r="E166" t="s">
        <v>487</v>
      </c>
    </row>
    <row r="167" spans="1:5" x14ac:dyDescent="0.25">
      <c r="A167">
        <v>16</v>
      </c>
      <c r="B167">
        <v>2</v>
      </c>
      <c r="C167" t="str">
        <f>"S"&amp;TEXT(Table3[[#This Row],[Season]],"00")&amp;"E"&amp;TEXT(Table3[[#This Row],[Episode]],"00")</f>
        <v>S16E02</v>
      </c>
      <c r="D167" t="s">
        <v>486</v>
      </c>
      <c r="E167" t="s">
        <v>485</v>
      </c>
    </row>
    <row r="168" spans="1:5" x14ac:dyDescent="0.25">
      <c r="A168">
        <v>16</v>
      </c>
      <c r="B168">
        <v>3</v>
      </c>
      <c r="C168" t="str">
        <f>"S"&amp;TEXT(Table3[[#This Row],[Season]],"00")&amp;"E"&amp;TEXT(Table3[[#This Row],[Episode]],"00")</f>
        <v>S16E03</v>
      </c>
      <c r="D168" t="s">
        <v>484</v>
      </c>
      <c r="E168" t="s">
        <v>483</v>
      </c>
    </row>
    <row r="169" spans="1:5" x14ac:dyDescent="0.25">
      <c r="A169">
        <v>16</v>
      </c>
      <c r="B169">
        <v>4</v>
      </c>
      <c r="C169" t="str">
        <f>"S"&amp;TEXT(Table3[[#This Row],[Season]],"00")&amp;"E"&amp;TEXT(Table3[[#This Row],[Episode]],"00")</f>
        <v>S16E04</v>
      </c>
      <c r="D169" t="s">
        <v>482</v>
      </c>
      <c r="E169" t="s">
        <v>481</v>
      </c>
    </row>
    <row r="170" spans="1:5" x14ac:dyDescent="0.25">
      <c r="A170">
        <v>16</v>
      </c>
      <c r="B170">
        <v>5</v>
      </c>
      <c r="C170" t="str">
        <f>"S"&amp;TEXT(Table3[[#This Row],[Season]],"00")&amp;"E"&amp;TEXT(Table3[[#This Row],[Episode]],"00")</f>
        <v>S16E05</v>
      </c>
      <c r="D170" t="s">
        <v>480</v>
      </c>
      <c r="E170" t="s">
        <v>479</v>
      </c>
    </row>
    <row r="171" spans="1:5" x14ac:dyDescent="0.25">
      <c r="A171">
        <v>16</v>
      </c>
      <c r="B171">
        <v>6</v>
      </c>
      <c r="C171" t="str">
        <f>"S"&amp;TEXT(Table3[[#This Row],[Season]],"00")&amp;"E"&amp;TEXT(Table3[[#This Row],[Episode]],"00")</f>
        <v>S16E06</v>
      </c>
      <c r="D171" t="s">
        <v>478</v>
      </c>
      <c r="E171" t="s">
        <v>477</v>
      </c>
    </row>
    <row r="172" spans="1:5" x14ac:dyDescent="0.25">
      <c r="A172">
        <v>16</v>
      </c>
      <c r="B172">
        <v>7</v>
      </c>
      <c r="C172" t="str">
        <f>"S"&amp;TEXT(Table3[[#This Row],[Season]],"00")&amp;"E"&amp;TEXT(Table3[[#This Row],[Episode]],"00")</f>
        <v>S16E07</v>
      </c>
      <c r="D172" t="s">
        <v>476</v>
      </c>
      <c r="E172" t="s">
        <v>475</v>
      </c>
    </row>
    <row r="173" spans="1:5" x14ac:dyDescent="0.25">
      <c r="A173">
        <v>16</v>
      </c>
      <c r="B173">
        <v>8</v>
      </c>
      <c r="C173" t="str">
        <f>"S"&amp;TEXT(Table3[[#This Row],[Season]],"00")&amp;"E"&amp;TEXT(Table3[[#This Row],[Episode]],"00")</f>
        <v>S16E08</v>
      </c>
      <c r="D173" t="s">
        <v>474</v>
      </c>
      <c r="E173" t="s">
        <v>473</v>
      </c>
    </row>
    <row r="174" spans="1:5" x14ac:dyDescent="0.25">
      <c r="A174">
        <v>16</v>
      </c>
      <c r="B174">
        <v>9</v>
      </c>
      <c r="C174" t="str">
        <f>"S"&amp;TEXT(Table3[[#This Row],[Season]],"00")&amp;"E"&amp;TEXT(Table3[[#This Row],[Episode]],"00")</f>
        <v>S16E09</v>
      </c>
      <c r="D174" t="s">
        <v>472</v>
      </c>
      <c r="E174" t="s">
        <v>471</v>
      </c>
    </row>
    <row r="175" spans="1:5" x14ac:dyDescent="0.25">
      <c r="A175">
        <v>17</v>
      </c>
      <c r="B175">
        <v>1</v>
      </c>
      <c r="C175" t="str">
        <f>"S"&amp;TEXT(Table3[[#This Row],[Season]],"00")&amp;"E"&amp;TEXT(Table3[[#This Row],[Episode]],"00")</f>
        <v>S17E01</v>
      </c>
      <c r="D175" t="s">
        <v>470</v>
      </c>
      <c r="E175" t="s">
        <v>469</v>
      </c>
    </row>
    <row r="176" spans="1:5" x14ac:dyDescent="0.25">
      <c r="A176">
        <v>17</v>
      </c>
      <c r="B176">
        <v>2</v>
      </c>
      <c r="C176" t="str">
        <f>"S"&amp;TEXT(Table3[[#This Row],[Season]],"00")&amp;"E"&amp;TEXT(Table3[[#This Row],[Episode]],"00")</f>
        <v>S17E02</v>
      </c>
      <c r="D176" t="s">
        <v>468</v>
      </c>
      <c r="E176" t="s">
        <v>467</v>
      </c>
    </row>
    <row r="177" spans="1:5" x14ac:dyDescent="0.25">
      <c r="A177">
        <v>17</v>
      </c>
      <c r="B177">
        <v>3</v>
      </c>
      <c r="C177" t="str">
        <f>"S"&amp;TEXT(Table3[[#This Row],[Season]],"00")&amp;"E"&amp;TEXT(Table3[[#This Row],[Episode]],"00")</f>
        <v>S17E03</v>
      </c>
      <c r="D177" t="s">
        <v>466</v>
      </c>
      <c r="E177" t="s">
        <v>465</v>
      </c>
    </row>
    <row r="178" spans="1:5" x14ac:dyDescent="0.25">
      <c r="A178">
        <v>17</v>
      </c>
      <c r="B178">
        <v>4</v>
      </c>
      <c r="C178" t="str">
        <f>"S"&amp;TEXT(Table3[[#This Row],[Season]],"00")&amp;"E"&amp;TEXT(Table3[[#This Row],[Episode]],"00")</f>
        <v>S17E04</v>
      </c>
      <c r="D178" t="s">
        <v>464</v>
      </c>
      <c r="E178" t="s">
        <v>463</v>
      </c>
    </row>
    <row r="179" spans="1:5" x14ac:dyDescent="0.25">
      <c r="A179">
        <v>17</v>
      </c>
      <c r="B179">
        <v>5</v>
      </c>
      <c r="C179" t="str">
        <f>"S"&amp;TEXT(Table3[[#This Row],[Season]],"00")&amp;"E"&amp;TEXT(Table3[[#This Row],[Episode]],"00")</f>
        <v>S17E05</v>
      </c>
      <c r="D179" t="s">
        <v>462</v>
      </c>
      <c r="E179" t="s">
        <v>461</v>
      </c>
    </row>
    <row r="180" spans="1:5" x14ac:dyDescent="0.25">
      <c r="A180">
        <v>17</v>
      </c>
      <c r="B180">
        <v>6</v>
      </c>
      <c r="C180" t="str">
        <f>"S"&amp;TEXT(Table3[[#This Row],[Season]],"00")&amp;"E"&amp;TEXT(Table3[[#This Row],[Episode]],"00")</f>
        <v>S17E06</v>
      </c>
      <c r="D180" t="s">
        <v>460</v>
      </c>
      <c r="E180" t="s">
        <v>459</v>
      </c>
    </row>
    <row r="181" spans="1:5" x14ac:dyDescent="0.25">
      <c r="A181">
        <v>17</v>
      </c>
      <c r="B181">
        <v>7</v>
      </c>
      <c r="C181" t="str">
        <f>"S"&amp;TEXT(Table3[[#This Row],[Season]],"00")&amp;"E"&amp;TEXT(Table3[[#This Row],[Episode]],"00")</f>
        <v>S17E07</v>
      </c>
      <c r="D181" t="s">
        <v>458</v>
      </c>
      <c r="E181" t="s">
        <v>457</v>
      </c>
    </row>
    <row r="182" spans="1:5" x14ac:dyDescent="0.25">
      <c r="A182">
        <v>17</v>
      </c>
      <c r="B182">
        <v>8</v>
      </c>
      <c r="C182" t="str">
        <f>"S"&amp;TEXT(Table3[[#This Row],[Season]],"00")&amp;"E"&amp;TEXT(Table3[[#This Row],[Episode]],"00")</f>
        <v>S17E08</v>
      </c>
      <c r="D182" t="s">
        <v>456</v>
      </c>
      <c r="E182" t="s">
        <v>455</v>
      </c>
    </row>
    <row r="183" spans="1:5" x14ac:dyDescent="0.25">
      <c r="A183">
        <v>17</v>
      </c>
      <c r="B183">
        <v>9</v>
      </c>
      <c r="C183" t="str">
        <f>"S"&amp;TEXT(Table3[[#This Row],[Season]],"00")&amp;"E"&amp;TEXT(Table3[[#This Row],[Episode]],"00")</f>
        <v>S17E09</v>
      </c>
      <c r="D183" t="s">
        <v>454</v>
      </c>
      <c r="E183" t="s">
        <v>453</v>
      </c>
    </row>
    <row r="184" spans="1:5" x14ac:dyDescent="0.25">
      <c r="A184">
        <v>18</v>
      </c>
      <c r="B184">
        <v>1</v>
      </c>
      <c r="C184" t="str">
        <f>"S"&amp;TEXT(Table3[[#This Row],[Season]],"00")&amp;"E"&amp;TEXT(Table3[[#This Row],[Episode]],"00")</f>
        <v>S18E01</v>
      </c>
      <c r="D184" t="s">
        <v>452</v>
      </c>
      <c r="E184" t="s">
        <v>451</v>
      </c>
    </row>
    <row r="185" spans="1:5" x14ac:dyDescent="0.25">
      <c r="A185">
        <v>18</v>
      </c>
      <c r="B185">
        <v>2</v>
      </c>
      <c r="C185" t="str">
        <f>"S"&amp;TEXT(Table3[[#This Row],[Season]],"00")&amp;"E"&amp;TEXT(Table3[[#This Row],[Episode]],"00")</f>
        <v>S18E02</v>
      </c>
      <c r="D185" t="s">
        <v>450</v>
      </c>
      <c r="E185" t="s">
        <v>449</v>
      </c>
    </row>
    <row r="186" spans="1:5" x14ac:dyDescent="0.25">
      <c r="A186">
        <v>18</v>
      </c>
      <c r="B186">
        <v>3</v>
      </c>
      <c r="C186" t="str">
        <f>"S"&amp;TEXT(Table3[[#This Row],[Season]],"00")&amp;"E"&amp;TEXT(Table3[[#This Row],[Episode]],"00")</f>
        <v>S18E03</v>
      </c>
      <c r="D186" t="s">
        <v>448</v>
      </c>
      <c r="E186" t="s">
        <v>447</v>
      </c>
    </row>
    <row r="187" spans="1:5" x14ac:dyDescent="0.25">
      <c r="A187">
        <v>18</v>
      </c>
      <c r="B187">
        <v>4</v>
      </c>
      <c r="C187" t="str">
        <f>"S"&amp;TEXT(Table3[[#This Row],[Season]],"00")&amp;"E"&amp;TEXT(Table3[[#This Row],[Episode]],"00")</f>
        <v>S18E04</v>
      </c>
      <c r="D187" t="s">
        <v>446</v>
      </c>
      <c r="E187" t="s">
        <v>445</v>
      </c>
    </row>
    <row r="188" spans="1:5" x14ac:dyDescent="0.25">
      <c r="A188">
        <v>18</v>
      </c>
      <c r="B188">
        <v>5</v>
      </c>
      <c r="C188" t="str">
        <f>"S"&amp;TEXT(Table3[[#This Row],[Season]],"00")&amp;"E"&amp;TEXT(Table3[[#This Row],[Episode]],"00")</f>
        <v>S18E05</v>
      </c>
      <c r="D188" t="s">
        <v>444</v>
      </c>
      <c r="E188" t="s">
        <v>443</v>
      </c>
    </row>
    <row r="189" spans="1:5" x14ac:dyDescent="0.25">
      <c r="A189">
        <v>18</v>
      </c>
      <c r="B189">
        <v>6</v>
      </c>
      <c r="C189" t="str">
        <f>"S"&amp;TEXT(Table3[[#This Row],[Season]],"00")&amp;"E"&amp;TEXT(Table3[[#This Row],[Episode]],"00")</f>
        <v>S18E06</v>
      </c>
      <c r="D189" t="s">
        <v>442</v>
      </c>
      <c r="E189" t="s">
        <v>441</v>
      </c>
    </row>
    <row r="190" spans="1:5" x14ac:dyDescent="0.25">
      <c r="A190">
        <v>18</v>
      </c>
      <c r="B190">
        <v>7</v>
      </c>
      <c r="C190" t="str">
        <f>"S"&amp;TEXT(Table3[[#This Row],[Season]],"00")&amp;"E"&amp;TEXT(Table3[[#This Row],[Episode]],"00")</f>
        <v>S18E07</v>
      </c>
      <c r="D190" t="s">
        <v>440</v>
      </c>
      <c r="E190" t="s">
        <v>439</v>
      </c>
    </row>
    <row r="191" spans="1:5" x14ac:dyDescent="0.25">
      <c r="A191">
        <v>18</v>
      </c>
      <c r="B191">
        <v>8</v>
      </c>
      <c r="C191" t="str">
        <f>"S"&amp;TEXT(Table3[[#This Row],[Season]],"00")&amp;"E"&amp;TEXT(Table3[[#This Row],[Episode]],"00")</f>
        <v>S18E08</v>
      </c>
      <c r="D191" t="s">
        <v>438</v>
      </c>
      <c r="E191" t="s">
        <v>437</v>
      </c>
    </row>
    <row r="192" spans="1:5" x14ac:dyDescent="0.25">
      <c r="A192">
        <v>18</v>
      </c>
      <c r="B192">
        <v>9</v>
      </c>
      <c r="C192" t="str">
        <f>"S"&amp;TEXT(Table3[[#This Row],[Season]],"00")&amp;"E"&amp;TEXT(Table3[[#This Row],[Episode]],"00")</f>
        <v>S18E09</v>
      </c>
      <c r="D192" t="s">
        <v>436</v>
      </c>
      <c r="E192" t="s">
        <v>435</v>
      </c>
    </row>
    <row r="193" spans="1:5" x14ac:dyDescent="0.25">
      <c r="A193">
        <v>19</v>
      </c>
      <c r="B193">
        <v>1</v>
      </c>
      <c r="C193" t="str">
        <f>"S"&amp;TEXT(Table3[[#This Row],[Season]],"00")&amp;"E"&amp;TEXT(Table3[[#This Row],[Episode]],"00")</f>
        <v>S19E01</v>
      </c>
      <c r="D193" t="s">
        <v>434</v>
      </c>
      <c r="E193" t="s">
        <v>433</v>
      </c>
    </row>
    <row r="194" spans="1:5" x14ac:dyDescent="0.25">
      <c r="A194">
        <v>19</v>
      </c>
      <c r="B194">
        <v>2</v>
      </c>
      <c r="C194" t="str">
        <f>"S"&amp;TEXT(Table3[[#This Row],[Season]],"00")&amp;"E"&amp;TEXT(Table3[[#This Row],[Episode]],"00")</f>
        <v>S19E02</v>
      </c>
      <c r="D194" t="s">
        <v>432</v>
      </c>
      <c r="E194" t="s">
        <v>431</v>
      </c>
    </row>
    <row r="195" spans="1:5" x14ac:dyDescent="0.25">
      <c r="A195">
        <v>19</v>
      </c>
      <c r="B195">
        <v>3</v>
      </c>
      <c r="C195" t="str">
        <f>"S"&amp;TEXT(Table3[[#This Row],[Season]],"00")&amp;"E"&amp;TEXT(Table3[[#This Row],[Episode]],"00")</f>
        <v>S19E03</v>
      </c>
      <c r="D195" t="s">
        <v>430</v>
      </c>
      <c r="E195" t="s">
        <v>429</v>
      </c>
    </row>
    <row r="196" spans="1:5" x14ac:dyDescent="0.25">
      <c r="A196">
        <v>19</v>
      </c>
      <c r="B196">
        <v>4</v>
      </c>
      <c r="C196" t="str">
        <f>"S"&amp;TEXT(Table3[[#This Row],[Season]],"00")&amp;"E"&amp;TEXT(Table3[[#This Row],[Episode]],"00")</f>
        <v>S19E04</v>
      </c>
      <c r="D196" t="s">
        <v>428</v>
      </c>
      <c r="E196" t="s">
        <v>427</v>
      </c>
    </row>
    <row r="197" spans="1:5" x14ac:dyDescent="0.25">
      <c r="A197">
        <v>19</v>
      </c>
      <c r="B197">
        <v>5</v>
      </c>
      <c r="C197" t="str">
        <f>"S"&amp;TEXT(Table3[[#This Row],[Season]],"00")&amp;"E"&amp;TEXT(Table3[[#This Row],[Episode]],"00")</f>
        <v>S19E05</v>
      </c>
      <c r="D197" t="s">
        <v>426</v>
      </c>
      <c r="E197" t="s">
        <v>425</v>
      </c>
    </row>
    <row r="198" spans="1:5" x14ac:dyDescent="0.25">
      <c r="A198">
        <v>19</v>
      </c>
      <c r="B198">
        <v>6</v>
      </c>
      <c r="C198" t="str">
        <f>"S"&amp;TEXT(Table3[[#This Row],[Season]],"00")&amp;"E"&amp;TEXT(Table3[[#This Row],[Episode]],"00")</f>
        <v>S19E06</v>
      </c>
      <c r="D198" t="s">
        <v>424</v>
      </c>
      <c r="E198" t="s">
        <v>423</v>
      </c>
    </row>
    <row r="199" spans="1:5" x14ac:dyDescent="0.25">
      <c r="A199">
        <v>19</v>
      </c>
      <c r="B199">
        <v>7</v>
      </c>
      <c r="C199" t="str">
        <f>"S"&amp;TEXT(Table3[[#This Row],[Season]],"00")&amp;"E"&amp;TEXT(Table3[[#This Row],[Episode]],"00")</f>
        <v>S19E07</v>
      </c>
      <c r="D199" t="s">
        <v>421</v>
      </c>
      <c r="E199" t="s">
        <v>420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B8E0B-ECA2-463B-8DFD-E2CC9C0DBC77}">
  <dimension ref="A1:D194"/>
  <sheetViews>
    <sheetView workbookViewId="0">
      <selection activeCell="D16" sqref="D16"/>
    </sheetView>
  </sheetViews>
  <sheetFormatPr defaultColWidth="22.140625" defaultRowHeight="15" x14ac:dyDescent="0.25"/>
  <cols>
    <col min="1" max="1" width="13.42578125" customWidth="1"/>
    <col min="2" max="2" width="16.42578125" customWidth="1"/>
    <col min="3" max="3" width="15" customWidth="1"/>
  </cols>
  <sheetData>
    <row r="1" spans="1:4" x14ac:dyDescent="0.25">
      <c r="A1" t="s">
        <v>819</v>
      </c>
      <c r="B1" t="s">
        <v>1</v>
      </c>
      <c r="C1" t="s">
        <v>2</v>
      </c>
      <c r="D1" t="s">
        <v>1510</v>
      </c>
    </row>
    <row r="2" spans="1:4" x14ac:dyDescent="0.25">
      <c r="A2" t="s">
        <v>820</v>
      </c>
      <c r="B2" t="s">
        <v>816</v>
      </c>
      <c r="C2" s="3">
        <v>36279</v>
      </c>
      <c r="D2" t="s">
        <v>1318</v>
      </c>
    </row>
    <row r="3" spans="1:4" x14ac:dyDescent="0.25">
      <c r="A3" t="s">
        <v>821</v>
      </c>
      <c r="B3" t="s">
        <v>814</v>
      </c>
      <c r="C3" s="3">
        <v>36286</v>
      </c>
      <c r="D3" t="s">
        <v>1319</v>
      </c>
    </row>
    <row r="4" spans="1:4" x14ac:dyDescent="0.25">
      <c r="A4" t="s">
        <v>822</v>
      </c>
      <c r="B4" t="s">
        <v>812</v>
      </c>
      <c r="C4" s="3">
        <v>36293</v>
      </c>
      <c r="D4" t="s">
        <v>1336</v>
      </c>
    </row>
    <row r="5" spans="1:4" x14ac:dyDescent="0.25">
      <c r="A5" t="s">
        <v>823</v>
      </c>
      <c r="B5" t="s">
        <v>810</v>
      </c>
      <c r="C5" s="3">
        <v>36300</v>
      </c>
      <c r="D5" t="s">
        <v>1320</v>
      </c>
    </row>
    <row r="6" spans="1:4" x14ac:dyDescent="0.25">
      <c r="A6" t="s">
        <v>824</v>
      </c>
      <c r="B6" t="s">
        <v>808</v>
      </c>
      <c r="C6" s="3">
        <v>36314</v>
      </c>
      <c r="D6" t="s">
        <v>1321</v>
      </c>
    </row>
    <row r="7" spans="1:4" x14ac:dyDescent="0.25">
      <c r="A7" t="s">
        <v>825</v>
      </c>
      <c r="B7" t="s">
        <v>806</v>
      </c>
      <c r="C7" s="3">
        <v>36321</v>
      </c>
      <c r="D7" t="s">
        <v>1322</v>
      </c>
    </row>
    <row r="8" spans="1:4" x14ac:dyDescent="0.25">
      <c r="A8" t="s">
        <v>826</v>
      </c>
      <c r="B8" t="s">
        <v>804</v>
      </c>
      <c r="C8" s="3">
        <v>36328</v>
      </c>
      <c r="D8" t="s">
        <v>1337</v>
      </c>
    </row>
    <row r="9" spans="1:4" x14ac:dyDescent="0.25">
      <c r="A9" t="s">
        <v>827</v>
      </c>
      <c r="B9" t="s">
        <v>802</v>
      </c>
      <c r="C9" s="3">
        <v>36335</v>
      </c>
      <c r="D9" t="s">
        <v>1323</v>
      </c>
    </row>
    <row r="10" spans="1:4" x14ac:dyDescent="0.25">
      <c r="A10" t="s">
        <v>837</v>
      </c>
      <c r="B10" t="s">
        <v>800</v>
      </c>
      <c r="C10" s="3">
        <v>37089</v>
      </c>
      <c r="D10" t="s">
        <v>1338</v>
      </c>
    </row>
    <row r="11" spans="1:4" x14ac:dyDescent="0.25">
      <c r="A11" t="s">
        <v>838</v>
      </c>
      <c r="B11" t="s">
        <v>798</v>
      </c>
      <c r="C11" s="3">
        <v>37096</v>
      </c>
      <c r="D11" t="s">
        <v>1339</v>
      </c>
    </row>
    <row r="12" spans="1:4" x14ac:dyDescent="0.25">
      <c r="A12" t="s">
        <v>839</v>
      </c>
      <c r="B12" t="s">
        <v>796</v>
      </c>
      <c r="C12" s="3">
        <v>37103</v>
      </c>
      <c r="D12" t="s">
        <v>1340</v>
      </c>
    </row>
    <row r="13" spans="1:4" x14ac:dyDescent="0.25">
      <c r="A13" t="s">
        <v>840</v>
      </c>
      <c r="B13" t="s">
        <v>794</v>
      </c>
      <c r="C13" s="3">
        <v>37110</v>
      </c>
      <c r="D13" t="s">
        <v>1341</v>
      </c>
    </row>
    <row r="14" spans="1:4" x14ac:dyDescent="0.25">
      <c r="A14" t="s">
        <v>841</v>
      </c>
      <c r="B14" t="s">
        <v>792</v>
      </c>
      <c r="C14" s="3">
        <v>37117</v>
      </c>
      <c r="D14" t="s">
        <v>1342</v>
      </c>
    </row>
    <row r="15" spans="1:4" x14ac:dyDescent="0.25">
      <c r="A15" t="s">
        <v>842</v>
      </c>
      <c r="B15" t="s">
        <v>790</v>
      </c>
      <c r="C15" s="3">
        <v>37124</v>
      </c>
      <c r="D15" t="s">
        <v>1343</v>
      </c>
    </row>
    <row r="16" spans="1:4" x14ac:dyDescent="0.25">
      <c r="A16" t="s">
        <v>843</v>
      </c>
      <c r="B16" t="s">
        <v>788</v>
      </c>
      <c r="C16" s="3">
        <v>37131</v>
      </c>
      <c r="D16" t="s">
        <v>1344</v>
      </c>
    </row>
    <row r="17" spans="1:4" x14ac:dyDescent="0.25">
      <c r="A17" t="s">
        <v>844</v>
      </c>
      <c r="B17" t="s">
        <v>786</v>
      </c>
      <c r="C17" s="3">
        <v>37138</v>
      </c>
      <c r="D17" t="s">
        <v>1345</v>
      </c>
    </row>
    <row r="18" spans="1:4" x14ac:dyDescent="0.25">
      <c r="A18" t="s">
        <v>845</v>
      </c>
      <c r="B18" t="s">
        <v>784</v>
      </c>
      <c r="C18" s="3">
        <v>37203</v>
      </c>
      <c r="D18" t="s">
        <v>1346</v>
      </c>
    </row>
    <row r="19" spans="1:4" x14ac:dyDescent="0.25">
      <c r="A19" t="s">
        <v>846</v>
      </c>
      <c r="B19" t="s">
        <v>782</v>
      </c>
      <c r="C19" s="3">
        <v>37210</v>
      </c>
      <c r="D19" t="s">
        <v>1324</v>
      </c>
    </row>
    <row r="20" spans="1:4" x14ac:dyDescent="0.25">
      <c r="A20" t="s">
        <v>847</v>
      </c>
      <c r="B20" t="s">
        <v>780</v>
      </c>
      <c r="C20" s="3">
        <v>37217</v>
      </c>
      <c r="D20" t="s">
        <v>1347</v>
      </c>
    </row>
    <row r="21" spans="1:4" x14ac:dyDescent="0.25">
      <c r="A21" t="s">
        <v>848</v>
      </c>
      <c r="B21" t="s">
        <v>778</v>
      </c>
      <c r="C21" s="3">
        <v>37224</v>
      </c>
      <c r="D21" t="s">
        <v>1348</v>
      </c>
    </row>
    <row r="22" spans="1:4" x14ac:dyDescent="0.25">
      <c r="A22" t="s">
        <v>1010</v>
      </c>
      <c r="B22" t="s">
        <v>776</v>
      </c>
      <c r="C22" s="3">
        <v>37231</v>
      </c>
      <c r="D22" t="s">
        <v>1349</v>
      </c>
    </row>
    <row r="23" spans="1:4" x14ac:dyDescent="0.25">
      <c r="A23" t="s">
        <v>1011</v>
      </c>
      <c r="B23" t="s">
        <v>774</v>
      </c>
      <c r="C23" s="3">
        <v>37509</v>
      </c>
      <c r="D23" t="s">
        <v>1350</v>
      </c>
    </row>
    <row r="24" spans="1:4" x14ac:dyDescent="0.25">
      <c r="A24" t="s">
        <v>1012</v>
      </c>
      <c r="B24" t="s">
        <v>772</v>
      </c>
      <c r="C24" s="3">
        <v>37516</v>
      </c>
      <c r="D24" t="s">
        <v>1351</v>
      </c>
    </row>
    <row r="25" spans="1:4" x14ac:dyDescent="0.25">
      <c r="A25" t="s">
        <v>1013</v>
      </c>
      <c r="B25" t="s">
        <v>770</v>
      </c>
      <c r="C25" s="3">
        <v>37523</v>
      </c>
      <c r="D25" t="s">
        <v>1352</v>
      </c>
    </row>
    <row r="26" spans="1:4" x14ac:dyDescent="0.25">
      <c r="A26" t="s">
        <v>1014</v>
      </c>
      <c r="B26" t="s">
        <v>768</v>
      </c>
      <c r="C26" s="3">
        <v>37530</v>
      </c>
      <c r="D26" t="s">
        <v>1353</v>
      </c>
    </row>
    <row r="27" spans="1:4" x14ac:dyDescent="0.25">
      <c r="A27" t="s">
        <v>849</v>
      </c>
      <c r="B27" t="s">
        <v>766</v>
      </c>
      <c r="C27" s="3">
        <v>37664</v>
      </c>
      <c r="D27" t="s">
        <v>1354</v>
      </c>
    </row>
    <row r="28" spans="1:4" x14ac:dyDescent="0.25">
      <c r="A28" t="s">
        <v>850</v>
      </c>
      <c r="B28" t="s">
        <v>764</v>
      </c>
      <c r="C28" s="3">
        <v>37671</v>
      </c>
      <c r="D28" t="s">
        <v>1355</v>
      </c>
    </row>
    <row r="29" spans="1:4" x14ac:dyDescent="0.25">
      <c r="A29" t="s">
        <v>851</v>
      </c>
      <c r="B29" t="s">
        <v>762</v>
      </c>
      <c r="C29" s="3">
        <v>37678</v>
      </c>
      <c r="D29" t="s">
        <v>1356</v>
      </c>
    </row>
    <row r="30" spans="1:4" x14ac:dyDescent="0.25">
      <c r="A30" t="s">
        <v>852</v>
      </c>
      <c r="B30" t="s">
        <v>760</v>
      </c>
      <c r="C30" s="3">
        <v>37685</v>
      </c>
      <c r="D30" t="s">
        <v>1357</v>
      </c>
    </row>
    <row r="31" spans="1:4" x14ac:dyDescent="0.25">
      <c r="A31" t="s">
        <v>853</v>
      </c>
      <c r="B31" t="s">
        <v>758</v>
      </c>
      <c r="C31" s="3">
        <v>37692</v>
      </c>
      <c r="D31" t="s">
        <v>1358</v>
      </c>
    </row>
    <row r="32" spans="1:4" x14ac:dyDescent="0.25">
      <c r="A32" t="s">
        <v>854</v>
      </c>
      <c r="B32" t="s">
        <v>756</v>
      </c>
      <c r="C32" s="3">
        <v>37881</v>
      </c>
      <c r="D32" t="s">
        <v>1504</v>
      </c>
    </row>
    <row r="33" spans="1:4" x14ac:dyDescent="0.25">
      <c r="A33" t="s">
        <v>855</v>
      </c>
      <c r="B33" t="s">
        <v>754</v>
      </c>
      <c r="C33" s="3">
        <v>37888</v>
      </c>
      <c r="D33" t="s">
        <v>1359</v>
      </c>
    </row>
    <row r="34" spans="1:4" x14ac:dyDescent="0.25">
      <c r="A34" t="s">
        <v>856</v>
      </c>
      <c r="B34" t="s">
        <v>752</v>
      </c>
      <c r="C34" s="3">
        <v>37895</v>
      </c>
      <c r="D34" t="s">
        <v>1360</v>
      </c>
    </row>
    <row r="35" spans="1:4" x14ac:dyDescent="0.25">
      <c r="A35" t="s">
        <v>857</v>
      </c>
      <c r="B35" t="s">
        <v>750</v>
      </c>
      <c r="C35" s="3">
        <v>37902</v>
      </c>
      <c r="D35" t="s">
        <v>1361</v>
      </c>
    </row>
    <row r="36" spans="1:4" x14ac:dyDescent="0.25">
      <c r="A36" t="s">
        <v>858</v>
      </c>
      <c r="B36" t="s">
        <v>748</v>
      </c>
      <c r="C36" s="3">
        <v>37909</v>
      </c>
      <c r="D36" t="s">
        <v>1362</v>
      </c>
    </row>
    <row r="37" spans="1:4" x14ac:dyDescent="0.25">
      <c r="A37" t="s">
        <v>859</v>
      </c>
      <c r="B37" t="s">
        <v>746</v>
      </c>
      <c r="C37" s="3">
        <v>37916</v>
      </c>
      <c r="D37" t="s">
        <v>1363</v>
      </c>
    </row>
    <row r="38" spans="1:4" x14ac:dyDescent="0.25">
      <c r="A38" t="s">
        <v>860</v>
      </c>
      <c r="B38" t="s">
        <v>744</v>
      </c>
      <c r="C38" s="3">
        <v>37923</v>
      </c>
      <c r="D38" t="s">
        <v>1364</v>
      </c>
    </row>
    <row r="39" spans="1:4" x14ac:dyDescent="0.25">
      <c r="A39" t="s">
        <v>864</v>
      </c>
      <c r="B39" t="s">
        <v>742</v>
      </c>
      <c r="C39" s="3">
        <v>38007</v>
      </c>
      <c r="D39" t="s">
        <v>1365</v>
      </c>
    </row>
    <row r="40" spans="1:4" x14ac:dyDescent="0.25">
      <c r="A40" t="s">
        <v>865</v>
      </c>
      <c r="B40" t="s">
        <v>740</v>
      </c>
      <c r="C40" s="3">
        <v>38014</v>
      </c>
      <c r="D40" t="s">
        <v>1366</v>
      </c>
    </row>
    <row r="41" spans="1:4" x14ac:dyDescent="0.25">
      <c r="A41" t="s">
        <v>866</v>
      </c>
      <c r="B41" t="s">
        <v>738</v>
      </c>
      <c r="C41" s="3">
        <v>38021</v>
      </c>
      <c r="D41" t="s">
        <v>1367</v>
      </c>
    </row>
    <row r="42" spans="1:4" x14ac:dyDescent="0.25">
      <c r="A42" t="s">
        <v>867</v>
      </c>
      <c r="B42" t="s">
        <v>736</v>
      </c>
      <c r="C42" s="3">
        <v>38028</v>
      </c>
      <c r="D42" t="s">
        <v>1368</v>
      </c>
    </row>
    <row r="43" spans="1:4" x14ac:dyDescent="0.25">
      <c r="A43" t="s">
        <v>868</v>
      </c>
      <c r="B43" t="s">
        <v>734</v>
      </c>
      <c r="C43" s="3">
        <v>38035</v>
      </c>
      <c r="D43" t="s">
        <v>1369</v>
      </c>
    </row>
    <row r="44" spans="1:4" x14ac:dyDescent="0.25">
      <c r="A44" t="s">
        <v>869</v>
      </c>
      <c r="B44" t="s">
        <v>732</v>
      </c>
      <c r="C44" s="3">
        <v>38042</v>
      </c>
      <c r="D44" t="s">
        <v>1370</v>
      </c>
    </row>
    <row r="45" spans="1:4" x14ac:dyDescent="0.25">
      <c r="A45" t="s">
        <v>870</v>
      </c>
      <c r="B45" t="s">
        <v>730</v>
      </c>
      <c r="C45" s="3">
        <v>38049</v>
      </c>
      <c r="D45" t="s">
        <v>1371</v>
      </c>
    </row>
    <row r="46" spans="1:4" x14ac:dyDescent="0.25">
      <c r="A46" t="s">
        <v>871</v>
      </c>
      <c r="B46" t="s">
        <v>728</v>
      </c>
      <c r="C46" s="3">
        <v>38056</v>
      </c>
      <c r="D46" t="s">
        <v>1372</v>
      </c>
    </row>
    <row r="47" spans="1:4" x14ac:dyDescent="0.25">
      <c r="A47" t="s">
        <v>876</v>
      </c>
      <c r="B47" t="s">
        <v>726</v>
      </c>
      <c r="C47" s="3">
        <v>38448</v>
      </c>
      <c r="D47" t="s">
        <v>1325</v>
      </c>
    </row>
    <row r="48" spans="1:4" x14ac:dyDescent="0.25">
      <c r="A48" t="s">
        <v>877</v>
      </c>
      <c r="B48" t="s">
        <v>724</v>
      </c>
      <c r="C48" s="3">
        <v>38455</v>
      </c>
      <c r="D48" t="s">
        <v>1373</v>
      </c>
    </row>
    <row r="49" spans="1:4" x14ac:dyDescent="0.25">
      <c r="A49" t="s">
        <v>878</v>
      </c>
      <c r="B49" t="s">
        <v>722</v>
      </c>
      <c r="C49" s="3">
        <v>38462</v>
      </c>
      <c r="D49" t="s">
        <v>1374</v>
      </c>
    </row>
    <row r="50" spans="1:4" x14ac:dyDescent="0.25">
      <c r="A50" t="s">
        <v>879</v>
      </c>
      <c r="B50" t="s">
        <v>720</v>
      </c>
      <c r="C50" s="3">
        <v>38469</v>
      </c>
      <c r="D50" t="s">
        <v>1375</v>
      </c>
    </row>
    <row r="51" spans="1:4" x14ac:dyDescent="0.25">
      <c r="A51" t="s">
        <v>880</v>
      </c>
      <c r="B51" t="s">
        <v>718</v>
      </c>
      <c r="C51" s="3">
        <v>38476</v>
      </c>
      <c r="D51" t="s">
        <v>1376</v>
      </c>
    </row>
    <row r="52" spans="1:4" x14ac:dyDescent="0.25">
      <c r="A52" t="s">
        <v>881</v>
      </c>
      <c r="B52" t="s">
        <v>716</v>
      </c>
      <c r="C52" s="3">
        <v>38638</v>
      </c>
      <c r="D52" t="s">
        <v>1377</v>
      </c>
    </row>
    <row r="53" spans="1:4" x14ac:dyDescent="0.25">
      <c r="A53" t="s">
        <v>882</v>
      </c>
      <c r="B53" t="s">
        <v>714</v>
      </c>
      <c r="C53" s="3">
        <v>38644</v>
      </c>
      <c r="D53" t="s">
        <v>1378</v>
      </c>
    </row>
    <row r="54" spans="1:4" x14ac:dyDescent="0.25">
      <c r="A54" t="s">
        <v>883</v>
      </c>
      <c r="B54" t="s">
        <v>712</v>
      </c>
      <c r="C54" s="3">
        <v>38651</v>
      </c>
      <c r="D54" t="s">
        <v>1379</v>
      </c>
    </row>
    <row r="55" spans="1:4" x14ac:dyDescent="0.25">
      <c r="A55" t="s">
        <v>884</v>
      </c>
      <c r="B55" t="s">
        <v>710</v>
      </c>
      <c r="C55" s="3">
        <v>38658</v>
      </c>
      <c r="D55" t="s">
        <v>1380</v>
      </c>
    </row>
    <row r="56" spans="1:4" x14ac:dyDescent="0.25">
      <c r="A56" t="s">
        <v>885</v>
      </c>
      <c r="B56" t="s">
        <v>708</v>
      </c>
      <c r="C56" s="3">
        <v>38665</v>
      </c>
      <c r="D56" t="s">
        <v>1381</v>
      </c>
    </row>
    <row r="57" spans="1:4" x14ac:dyDescent="0.25">
      <c r="A57" t="s">
        <v>1015</v>
      </c>
      <c r="B57" t="s">
        <v>706</v>
      </c>
      <c r="C57" s="3">
        <v>38672</v>
      </c>
      <c r="D57" t="s">
        <v>1505</v>
      </c>
    </row>
    <row r="58" spans="1:4" x14ac:dyDescent="0.25">
      <c r="A58" t="s">
        <v>886</v>
      </c>
      <c r="B58" t="s">
        <v>704</v>
      </c>
      <c r="C58" s="3">
        <v>38812</v>
      </c>
      <c r="D58" t="s">
        <v>1382</v>
      </c>
    </row>
    <row r="59" spans="1:4" x14ac:dyDescent="0.25">
      <c r="A59" t="s">
        <v>887</v>
      </c>
      <c r="B59" t="s">
        <v>702</v>
      </c>
      <c r="C59" s="3">
        <v>38819</v>
      </c>
      <c r="D59" t="s">
        <v>1383</v>
      </c>
    </row>
    <row r="60" spans="1:4" x14ac:dyDescent="0.25">
      <c r="A60" t="s">
        <v>888</v>
      </c>
      <c r="B60" t="s">
        <v>700</v>
      </c>
      <c r="C60" s="3">
        <v>38826</v>
      </c>
      <c r="D60" t="s">
        <v>1384</v>
      </c>
    </row>
    <row r="61" spans="1:4" x14ac:dyDescent="0.25">
      <c r="A61" t="s">
        <v>889</v>
      </c>
      <c r="B61" t="s">
        <v>698</v>
      </c>
      <c r="C61" s="3">
        <v>38833</v>
      </c>
      <c r="D61" t="s">
        <v>1385</v>
      </c>
    </row>
    <row r="62" spans="1:4" x14ac:dyDescent="0.25">
      <c r="A62" t="s">
        <v>890</v>
      </c>
      <c r="B62" t="s">
        <v>696</v>
      </c>
      <c r="C62" s="3">
        <v>38840</v>
      </c>
      <c r="D62" t="s">
        <v>1386</v>
      </c>
    </row>
    <row r="63" spans="1:4" x14ac:dyDescent="0.25">
      <c r="A63" t="s">
        <v>891</v>
      </c>
      <c r="B63" t="s">
        <v>694</v>
      </c>
      <c r="C63" s="3">
        <v>38847</v>
      </c>
      <c r="D63" t="s">
        <v>1387</v>
      </c>
    </row>
    <row r="64" spans="1:4" x14ac:dyDescent="0.25">
      <c r="A64" t="s">
        <v>892</v>
      </c>
      <c r="B64" t="s">
        <v>692</v>
      </c>
      <c r="C64" s="3">
        <v>38854</v>
      </c>
      <c r="D64" t="s">
        <v>1388</v>
      </c>
    </row>
    <row r="65" spans="1:4" x14ac:dyDescent="0.25">
      <c r="A65" t="s">
        <v>1016</v>
      </c>
      <c r="B65" t="s">
        <v>690</v>
      </c>
      <c r="C65" s="3">
        <v>38860</v>
      </c>
      <c r="D65" t="s">
        <v>1389</v>
      </c>
    </row>
    <row r="66" spans="1:4" x14ac:dyDescent="0.25">
      <c r="A66" t="s">
        <v>893</v>
      </c>
      <c r="B66" t="s">
        <v>688</v>
      </c>
      <c r="C66" s="3">
        <v>39141</v>
      </c>
      <c r="D66" t="s">
        <v>1506</v>
      </c>
    </row>
    <row r="67" spans="1:4" x14ac:dyDescent="0.25">
      <c r="A67" t="s">
        <v>894</v>
      </c>
      <c r="B67" t="s">
        <v>686</v>
      </c>
      <c r="C67" s="3">
        <v>39148</v>
      </c>
      <c r="D67" t="s">
        <v>1390</v>
      </c>
    </row>
    <row r="68" spans="1:4" x14ac:dyDescent="0.25">
      <c r="A68" t="s">
        <v>895</v>
      </c>
      <c r="B68" t="s">
        <v>684</v>
      </c>
      <c r="C68" s="3">
        <v>39155</v>
      </c>
      <c r="D68" t="s">
        <v>1391</v>
      </c>
    </row>
    <row r="69" spans="1:4" x14ac:dyDescent="0.25">
      <c r="A69" t="s">
        <v>896</v>
      </c>
      <c r="B69" t="s">
        <v>682</v>
      </c>
      <c r="C69" s="3">
        <v>39162</v>
      </c>
      <c r="D69" t="s">
        <v>1392</v>
      </c>
    </row>
    <row r="70" spans="1:4" x14ac:dyDescent="0.25">
      <c r="A70" t="s">
        <v>897</v>
      </c>
      <c r="B70" t="s">
        <v>680</v>
      </c>
      <c r="C70" s="3">
        <v>39169</v>
      </c>
      <c r="D70" t="s">
        <v>1393</v>
      </c>
    </row>
    <row r="71" spans="1:4" x14ac:dyDescent="0.25">
      <c r="A71" t="s">
        <v>898</v>
      </c>
      <c r="B71" t="s">
        <v>678</v>
      </c>
      <c r="C71" s="3">
        <v>39176</v>
      </c>
      <c r="D71" t="s">
        <v>1394</v>
      </c>
    </row>
    <row r="72" spans="1:4" x14ac:dyDescent="0.25">
      <c r="A72" t="s">
        <v>899</v>
      </c>
      <c r="B72" t="s">
        <v>676</v>
      </c>
      <c r="C72" s="3">
        <v>39183</v>
      </c>
      <c r="D72" t="s">
        <v>1326</v>
      </c>
    </row>
    <row r="73" spans="1:4" x14ac:dyDescent="0.25">
      <c r="A73" t="s">
        <v>900</v>
      </c>
      <c r="B73" t="s">
        <v>674</v>
      </c>
      <c r="C73" s="3">
        <v>39190</v>
      </c>
      <c r="D73" t="s">
        <v>1395</v>
      </c>
    </row>
    <row r="74" spans="1:4" x14ac:dyDescent="0.25">
      <c r="A74" t="s">
        <v>901</v>
      </c>
      <c r="B74" t="s">
        <v>672</v>
      </c>
      <c r="C74" s="3">
        <v>39197</v>
      </c>
      <c r="D74" t="s">
        <v>1396</v>
      </c>
    </row>
    <row r="75" spans="1:4" x14ac:dyDescent="0.25">
      <c r="A75" t="s">
        <v>902</v>
      </c>
      <c r="B75" t="s">
        <v>670</v>
      </c>
      <c r="C75" s="3">
        <v>39204</v>
      </c>
      <c r="D75" t="s">
        <v>1397</v>
      </c>
    </row>
    <row r="76" spans="1:4" x14ac:dyDescent="0.25">
      <c r="A76" t="s">
        <v>903</v>
      </c>
      <c r="B76" t="s">
        <v>668</v>
      </c>
      <c r="C76" s="3">
        <v>39211</v>
      </c>
      <c r="D76" t="s">
        <v>1398</v>
      </c>
    </row>
    <row r="77" spans="1:4" x14ac:dyDescent="0.25">
      <c r="A77" t="s">
        <v>904</v>
      </c>
      <c r="B77" t="s">
        <v>666</v>
      </c>
      <c r="C77" s="3">
        <v>39218</v>
      </c>
      <c r="D77" t="s">
        <v>1399</v>
      </c>
    </row>
    <row r="78" spans="1:4" x14ac:dyDescent="0.25">
      <c r="A78" t="s">
        <v>905</v>
      </c>
      <c r="B78" t="s">
        <v>664</v>
      </c>
      <c r="C78" s="3">
        <v>39463</v>
      </c>
      <c r="D78" t="s">
        <v>1400</v>
      </c>
    </row>
    <row r="79" spans="1:4" x14ac:dyDescent="0.25">
      <c r="A79" t="s">
        <v>906</v>
      </c>
      <c r="B79" t="s">
        <v>662</v>
      </c>
      <c r="C79" s="3">
        <v>39470</v>
      </c>
      <c r="D79" t="s">
        <v>1401</v>
      </c>
    </row>
    <row r="80" spans="1:4" x14ac:dyDescent="0.25">
      <c r="A80" t="s">
        <v>907</v>
      </c>
      <c r="B80" t="s">
        <v>660</v>
      </c>
      <c r="C80" s="3">
        <v>39477</v>
      </c>
      <c r="D80" t="s">
        <v>1402</v>
      </c>
    </row>
    <row r="81" spans="1:4" x14ac:dyDescent="0.25">
      <c r="A81" t="s">
        <v>908</v>
      </c>
      <c r="B81" t="s">
        <v>658</v>
      </c>
      <c r="C81" s="3">
        <v>39484</v>
      </c>
      <c r="D81" t="s">
        <v>1403</v>
      </c>
    </row>
    <row r="82" spans="1:4" x14ac:dyDescent="0.25">
      <c r="A82" t="s">
        <v>909</v>
      </c>
      <c r="B82" t="s">
        <v>656</v>
      </c>
      <c r="C82" s="3">
        <v>39491</v>
      </c>
      <c r="D82" t="s">
        <v>1404</v>
      </c>
    </row>
    <row r="83" spans="1:4" x14ac:dyDescent="0.25">
      <c r="A83" t="s">
        <v>910</v>
      </c>
      <c r="B83" t="s">
        <v>654</v>
      </c>
      <c r="C83" s="3">
        <v>39498</v>
      </c>
      <c r="D83" t="s">
        <v>1405</v>
      </c>
    </row>
    <row r="84" spans="1:4" x14ac:dyDescent="0.25">
      <c r="A84" t="s">
        <v>911</v>
      </c>
      <c r="B84" t="s">
        <v>652</v>
      </c>
      <c r="C84" s="3">
        <v>39505</v>
      </c>
      <c r="D84" t="s">
        <v>1406</v>
      </c>
    </row>
    <row r="85" spans="1:4" x14ac:dyDescent="0.25">
      <c r="A85" t="s">
        <v>912</v>
      </c>
      <c r="B85" t="s">
        <v>1407</v>
      </c>
      <c r="C85" s="3">
        <v>39512</v>
      </c>
      <c r="D85" t="s">
        <v>1408</v>
      </c>
    </row>
    <row r="86" spans="1:4" x14ac:dyDescent="0.25">
      <c r="A86" t="s">
        <v>1017</v>
      </c>
      <c r="B86" t="s">
        <v>648</v>
      </c>
      <c r="C86" s="3">
        <v>39519</v>
      </c>
      <c r="D86" t="s">
        <v>1409</v>
      </c>
    </row>
    <row r="87" spans="1:4" x14ac:dyDescent="0.25">
      <c r="A87" t="s">
        <v>1018</v>
      </c>
      <c r="B87" t="s">
        <v>646</v>
      </c>
      <c r="C87" s="3">
        <v>39526</v>
      </c>
      <c r="D87" t="s">
        <v>1410</v>
      </c>
    </row>
    <row r="88" spans="1:4" x14ac:dyDescent="0.25">
      <c r="A88" t="s">
        <v>1019</v>
      </c>
      <c r="B88" t="s">
        <v>644</v>
      </c>
      <c r="C88" s="3">
        <v>39533</v>
      </c>
      <c r="D88" t="s">
        <v>1327</v>
      </c>
    </row>
    <row r="89" spans="1:4" x14ac:dyDescent="0.25">
      <c r="A89" t="s">
        <v>1020</v>
      </c>
      <c r="B89" t="s">
        <v>642</v>
      </c>
      <c r="C89" s="3">
        <v>39540</v>
      </c>
      <c r="D89" t="s">
        <v>1411</v>
      </c>
    </row>
    <row r="90" spans="1:4" x14ac:dyDescent="0.25">
      <c r="A90" t="s">
        <v>913</v>
      </c>
      <c r="B90" t="s">
        <v>640</v>
      </c>
      <c r="C90" s="3">
        <v>39841</v>
      </c>
      <c r="D90" t="s">
        <v>1328</v>
      </c>
    </row>
    <row r="91" spans="1:4" x14ac:dyDescent="0.25">
      <c r="A91" t="s">
        <v>914</v>
      </c>
      <c r="B91" t="s">
        <v>638</v>
      </c>
      <c r="C91" s="3">
        <v>39848</v>
      </c>
      <c r="D91" t="s">
        <v>1412</v>
      </c>
    </row>
    <row r="92" spans="1:4" x14ac:dyDescent="0.25">
      <c r="A92" t="s">
        <v>915</v>
      </c>
      <c r="B92" t="s">
        <v>636</v>
      </c>
      <c r="C92" s="3">
        <v>39855</v>
      </c>
      <c r="D92" t="s">
        <v>1413</v>
      </c>
    </row>
    <row r="93" spans="1:4" x14ac:dyDescent="0.25">
      <c r="A93" t="s">
        <v>916</v>
      </c>
      <c r="B93" t="s">
        <v>634</v>
      </c>
      <c r="C93" s="3">
        <v>39862</v>
      </c>
      <c r="D93" t="s">
        <v>1507</v>
      </c>
    </row>
    <row r="94" spans="1:4" x14ac:dyDescent="0.25">
      <c r="A94" t="s">
        <v>917</v>
      </c>
      <c r="B94" t="s">
        <v>632</v>
      </c>
      <c r="C94" s="3">
        <v>39869</v>
      </c>
      <c r="D94" t="s">
        <v>1414</v>
      </c>
    </row>
    <row r="95" spans="1:4" x14ac:dyDescent="0.25">
      <c r="A95" t="s">
        <v>918</v>
      </c>
      <c r="B95" t="s">
        <v>630</v>
      </c>
      <c r="C95" s="3">
        <v>39876</v>
      </c>
      <c r="D95" t="s">
        <v>1415</v>
      </c>
    </row>
    <row r="96" spans="1:4" x14ac:dyDescent="0.25">
      <c r="A96" t="s">
        <v>919</v>
      </c>
      <c r="B96" t="s">
        <v>628</v>
      </c>
      <c r="C96" s="3">
        <v>39883</v>
      </c>
      <c r="D96" t="s">
        <v>1416</v>
      </c>
    </row>
    <row r="97" spans="1:4" x14ac:dyDescent="0.25">
      <c r="A97" t="s">
        <v>920</v>
      </c>
      <c r="B97" t="s">
        <v>626</v>
      </c>
      <c r="C97" s="3">
        <v>39890</v>
      </c>
      <c r="D97" t="s">
        <v>1417</v>
      </c>
    </row>
    <row r="98" spans="1:4" x14ac:dyDescent="0.25">
      <c r="A98" t="s">
        <v>921</v>
      </c>
      <c r="B98" t="s">
        <v>624</v>
      </c>
      <c r="C98" s="3">
        <v>39897</v>
      </c>
      <c r="D98" t="s">
        <v>1418</v>
      </c>
    </row>
    <row r="99" spans="1:4" x14ac:dyDescent="0.25">
      <c r="A99" t="s">
        <v>922</v>
      </c>
      <c r="B99" t="s">
        <v>622</v>
      </c>
      <c r="C99" s="3">
        <v>39911</v>
      </c>
      <c r="D99" t="s">
        <v>1419</v>
      </c>
    </row>
    <row r="100" spans="1:4" x14ac:dyDescent="0.25">
      <c r="A100" t="s">
        <v>923</v>
      </c>
      <c r="B100" t="s">
        <v>620</v>
      </c>
      <c r="C100" s="3">
        <v>39918</v>
      </c>
      <c r="D100" t="s">
        <v>1420</v>
      </c>
    </row>
    <row r="101" spans="1:4" x14ac:dyDescent="0.25">
      <c r="A101" t="s">
        <v>1021</v>
      </c>
      <c r="B101" t="s">
        <v>618</v>
      </c>
      <c r="C101" s="3">
        <v>39925</v>
      </c>
      <c r="D101" t="s">
        <v>1508</v>
      </c>
    </row>
    <row r="102" spans="1:4" x14ac:dyDescent="0.25">
      <c r="A102" t="s">
        <v>1022</v>
      </c>
      <c r="B102" t="s">
        <v>616</v>
      </c>
      <c r="C102" s="3">
        <v>39932</v>
      </c>
      <c r="D102" t="s">
        <v>1509</v>
      </c>
    </row>
    <row r="103" spans="1:4" x14ac:dyDescent="0.25">
      <c r="A103" t="s">
        <v>924</v>
      </c>
      <c r="B103" t="s">
        <v>614</v>
      </c>
      <c r="C103" s="3">
        <v>40436</v>
      </c>
      <c r="D103" t="s">
        <v>1329</v>
      </c>
    </row>
    <row r="104" spans="1:4" x14ac:dyDescent="0.25">
      <c r="A104" t="s">
        <v>925</v>
      </c>
      <c r="B104" t="s">
        <v>612</v>
      </c>
      <c r="C104" s="3">
        <v>40443</v>
      </c>
      <c r="D104" t="s">
        <v>1330</v>
      </c>
    </row>
    <row r="105" spans="1:4" x14ac:dyDescent="0.25">
      <c r="A105" t="s">
        <v>926</v>
      </c>
      <c r="B105" t="s">
        <v>610</v>
      </c>
      <c r="C105" s="3">
        <v>40450</v>
      </c>
      <c r="D105" t="s">
        <v>1421</v>
      </c>
    </row>
    <row r="106" spans="1:4" x14ac:dyDescent="0.25">
      <c r="A106" t="s">
        <v>927</v>
      </c>
      <c r="B106" t="s">
        <v>608</v>
      </c>
      <c r="C106" s="3">
        <v>40457</v>
      </c>
      <c r="D106" t="s">
        <v>1422</v>
      </c>
    </row>
    <row r="107" spans="1:4" x14ac:dyDescent="0.25">
      <c r="A107" t="s">
        <v>928</v>
      </c>
      <c r="B107" t="s">
        <v>606</v>
      </c>
      <c r="C107" s="3">
        <v>40464</v>
      </c>
      <c r="D107" t="s">
        <v>1423</v>
      </c>
    </row>
    <row r="108" spans="1:4" x14ac:dyDescent="0.25">
      <c r="A108" t="s">
        <v>929</v>
      </c>
      <c r="B108" t="s">
        <v>604</v>
      </c>
      <c r="C108" s="3">
        <v>40471</v>
      </c>
      <c r="D108" t="s">
        <v>1331</v>
      </c>
    </row>
    <row r="109" spans="1:4" x14ac:dyDescent="0.25">
      <c r="A109" t="s">
        <v>930</v>
      </c>
      <c r="B109" t="s">
        <v>602</v>
      </c>
      <c r="C109" s="3">
        <v>40478</v>
      </c>
      <c r="D109" t="s">
        <v>1424</v>
      </c>
    </row>
    <row r="110" spans="1:4" x14ac:dyDescent="0.25">
      <c r="A110" t="s">
        <v>931</v>
      </c>
      <c r="B110" t="s">
        <v>600</v>
      </c>
      <c r="C110" s="3">
        <v>40485</v>
      </c>
      <c r="D110" t="s">
        <v>1332</v>
      </c>
    </row>
    <row r="111" spans="1:4" x14ac:dyDescent="0.25">
      <c r="A111" t="s">
        <v>932</v>
      </c>
      <c r="B111" t="s">
        <v>598</v>
      </c>
      <c r="C111" s="3">
        <v>40492</v>
      </c>
      <c r="D111" t="s">
        <v>1333</v>
      </c>
    </row>
    <row r="112" spans="1:4" x14ac:dyDescent="0.25">
      <c r="A112" t="s">
        <v>933</v>
      </c>
      <c r="B112" t="s">
        <v>596</v>
      </c>
      <c r="C112" s="3">
        <v>40499</v>
      </c>
      <c r="D112" t="s">
        <v>1425</v>
      </c>
    </row>
    <row r="113" spans="1:4" x14ac:dyDescent="0.25">
      <c r="A113" t="s">
        <v>934</v>
      </c>
      <c r="B113" t="s">
        <v>594</v>
      </c>
      <c r="C113" s="3">
        <v>40506</v>
      </c>
      <c r="D113" t="s">
        <v>1426</v>
      </c>
    </row>
    <row r="114" spans="1:4" x14ac:dyDescent="0.25">
      <c r="A114" t="s">
        <v>935</v>
      </c>
      <c r="B114" t="s">
        <v>592</v>
      </c>
      <c r="C114" s="3">
        <v>40513</v>
      </c>
      <c r="D114" t="s">
        <v>1427</v>
      </c>
    </row>
    <row r="115" spans="1:4" x14ac:dyDescent="0.25">
      <c r="A115" t="s">
        <v>1023</v>
      </c>
      <c r="B115" t="s">
        <v>590</v>
      </c>
      <c r="C115" s="3">
        <v>40520</v>
      </c>
      <c r="D115" t="s">
        <v>1428</v>
      </c>
    </row>
    <row r="116" spans="1:4" x14ac:dyDescent="0.25">
      <c r="A116" t="s">
        <v>1024</v>
      </c>
      <c r="B116" t="s">
        <v>588</v>
      </c>
      <c r="C116" s="3">
        <v>40527</v>
      </c>
      <c r="D116" t="s">
        <v>1429</v>
      </c>
    </row>
    <row r="117" spans="1:4" x14ac:dyDescent="0.25">
      <c r="A117" t="s">
        <v>936</v>
      </c>
      <c r="B117" t="s">
        <v>586</v>
      </c>
      <c r="C117" s="3">
        <v>40800</v>
      </c>
      <c r="D117" t="s">
        <v>1430</v>
      </c>
    </row>
    <row r="118" spans="1:4" x14ac:dyDescent="0.25">
      <c r="A118" t="s">
        <v>937</v>
      </c>
      <c r="B118" t="s">
        <v>584</v>
      </c>
      <c r="C118" s="3">
        <v>40807</v>
      </c>
      <c r="D118" t="s">
        <v>1431</v>
      </c>
    </row>
    <row r="119" spans="1:4" x14ac:dyDescent="0.25">
      <c r="A119" t="s">
        <v>938</v>
      </c>
      <c r="B119" t="s">
        <v>582</v>
      </c>
      <c r="C119" s="3">
        <v>40814</v>
      </c>
      <c r="D119" t="s">
        <v>1432</v>
      </c>
    </row>
    <row r="120" spans="1:4" x14ac:dyDescent="0.25">
      <c r="A120" t="s">
        <v>939</v>
      </c>
      <c r="B120" t="s">
        <v>580</v>
      </c>
      <c r="C120" s="3">
        <v>40821</v>
      </c>
      <c r="D120" t="s">
        <v>1433</v>
      </c>
    </row>
    <row r="121" spans="1:4" x14ac:dyDescent="0.25">
      <c r="A121" t="s">
        <v>940</v>
      </c>
      <c r="B121" t="s">
        <v>578</v>
      </c>
      <c r="C121" s="3">
        <v>40828</v>
      </c>
      <c r="D121" t="s">
        <v>1434</v>
      </c>
    </row>
    <row r="122" spans="1:4" x14ac:dyDescent="0.25">
      <c r="A122" t="s">
        <v>941</v>
      </c>
      <c r="B122" t="s">
        <v>576</v>
      </c>
      <c r="C122" s="3">
        <v>40835</v>
      </c>
      <c r="D122" t="s">
        <v>1435</v>
      </c>
    </row>
    <row r="123" spans="1:4" x14ac:dyDescent="0.25">
      <c r="A123" t="s">
        <v>942</v>
      </c>
      <c r="B123" t="s">
        <v>574</v>
      </c>
      <c r="C123" s="3">
        <v>40842</v>
      </c>
      <c r="D123" t="s">
        <v>1436</v>
      </c>
    </row>
    <row r="124" spans="1:4" x14ac:dyDescent="0.25">
      <c r="A124" t="s">
        <v>943</v>
      </c>
      <c r="B124" t="s">
        <v>572</v>
      </c>
      <c r="C124" s="3">
        <v>40849</v>
      </c>
      <c r="D124" t="s">
        <v>1437</v>
      </c>
    </row>
    <row r="125" spans="1:4" x14ac:dyDescent="0.25">
      <c r="A125" t="s">
        <v>944</v>
      </c>
      <c r="B125" t="s">
        <v>570</v>
      </c>
      <c r="C125" s="3">
        <v>40856</v>
      </c>
      <c r="D125" t="s">
        <v>1438</v>
      </c>
    </row>
    <row r="126" spans="1:4" x14ac:dyDescent="0.25">
      <c r="A126" t="s">
        <v>1025</v>
      </c>
      <c r="B126" t="s">
        <v>568</v>
      </c>
      <c r="C126" s="3">
        <v>40863</v>
      </c>
      <c r="D126" t="s">
        <v>1439</v>
      </c>
    </row>
    <row r="127" spans="1:4" x14ac:dyDescent="0.25">
      <c r="A127" t="s">
        <v>1026</v>
      </c>
      <c r="B127" t="s">
        <v>566</v>
      </c>
      <c r="C127" s="3">
        <v>40870</v>
      </c>
      <c r="D127" t="s">
        <v>1440</v>
      </c>
    </row>
    <row r="128" spans="1:4" x14ac:dyDescent="0.25">
      <c r="A128" t="s">
        <v>1027</v>
      </c>
      <c r="B128" t="s">
        <v>564</v>
      </c>
      <c r="C128" s="3">
        <v>40877</v>
      </c>
      <c r="D128" t="s">
        <v>1441</v>
      </c>
    </row>
    <row r="129" spans="1:4" x14ac:dyDescent="0.25">
      <c r="A129" t="s">
        <v>945</v>
      </c>
      <c r="B129" t="s">
        <v>562</v>
      </c>
      <c r="C129" s="3">
        <v>41164</v>
      </c>
      <c r="D129" t="s">
        <v>1442</v>
      </c>
    </row>
    <row r="130" spans="1:4" x14ac:dyDescent="0.25">
      <c r="A130" t="s">
        <v>946</v>
      </c>
      <c r="B130" t="s">
        <v>560</v>
      </c>
      <c r="C130" s="3">
        <v>41171</v>
      </c>
      <c r="D130" t="s">
        <v>1443</v>
      </c>
    </row>
    <row r="131" spans="1:4" x14ac:dyDescent="0.25">
      <c r="A131" t="s">
        <v>947</v>
      </c>
      <c r="B131" t="s">
        <v>558</v>
      </c>
      <c r="C131" s="3">
        <v>41178</v>
      </c>
      <c r="D131" t="s">
        <v>1444</v>
      </c>
    </row>
    <row r="132" spans="1:4" x14ac:dyDescent="0.25">
      <c r="A132" t="s">
        <v>948</v>
      </c>
      <c r="B132" t="s">
        <v>556</v>
      </c>
      <c r="C132" s="3">
        <v>41192</v>
      </c>
      <c r="D132" t="s">
        <v>1445</v>
      </c>
    </row>
    <row r="133" spans="1:4" x14ac:dyDescent="0.25">
      <c r="A133" t="s">
        <v>949</v>
      </c>
      <c r="B133" t="s">
        <v>554</v>
      </c>
      <c r="C133" s="3">
        <v>41199</v>
      </c>
      <c r="D133" t="s">
        <v>1446</v>
      </c>
    </row>
    <row r="134" spans="1:4" x14ac:dyDescent="0.25">
      <c r="A134" t="s">
        <v>950</v>
      </c>
      <c r="B134" t="s">
        <v>552</v>
      </c>
      <c r="C134" s="3">
        <v>41206</v>
      </c>
      <c r="D134" t="s">
        <v>1447</v>
      </c>
    </row>
    <row r="135" spans="1:4" x14ac:dyDescent="0.25">
      <c r="A135" t="s">
        <v>951</v>
      </c>
      <c r="B135" t="s">
        <v>550</v>
      </c>
      <c r="C135" s="3">
        <v>41213</v>
      </c>
      <c r="D135" t="s">
        <v>1448</v>
      </c>
    </row>
    <row r="136" spans="1:4" x14ac:dyDescent="0.25">
      <c r="A136" t="s">
        <v>952</v>
      </c>
      <c r="B136" t="s">
        <v>548</v>
      </c>
      <c r="C136" s="3">
        <v>41220</v>
      </c>
      <c r="D136" t="s">
        <v>1449</v>
      </c>
    </row>
    <row r="137" spans="1:4" x14ac:dyDescent="0.25">
      <c r="A137" t="s">
        <v>1028</v>
      </c>
      <c r="B137" t="s">
        <v>546</v>
      </c>
      <c r="C137" s="3">
        <v>41227</v>
      </c>
      <c r="D137" t="s">
        <v>1450</v>
      </c>
    </row>
    <row r="138" spans="1:4" x14ac:dyDescent="0.25">
      <c r="A138" t="s">
        <v>1029</v>
      </c>
      <c r="B138" t="s">
        <v>544</v>
      </c>
      <c r="C138" s="3">
        <v>41234</v>
      </c>
      <c r="D138" t="s">
        <v>1451</v>
      </c>
    </row>
    <row r="139" spans="1:4" x14ac:dyDescent="0.25">
      <c r="A139" t="s">
        <v>1030</v>
      </c>
      <c r="B139" t="s">
        <v>542</v>
      </c>
      <c r="C139" s="3">
        <v>41241</v>
      </c>
      <c r="D139" t="s">
        <v>1452</v>
      </c>
    </row>
    <row r="140" spans="1:4" x14ac:dyDescent="0.25">
      <c r="A140" t="s">
        <v>1031</v>
      </c>
      <c r="B140" t="s">
        <v>540</v>
      </c>
      <c r="C140" s="3">
        <v>41248</v>
      </c>
      <c r="D140" t="s">
        <v>1453</v>
      </c>
    </row>
    <row r="141" spans="1:4" x14ac:dyDescent="0.25">
      <c r="A141" t="s">
        <v>953</v>
      </c>
      <c r="B141" t="s">
        <v>538</v>
      </c>
      <c r="C141" s="3">
        <v>41521</v>
      </c>
      <c r="D141" t="s">
        <v>1454</v>
      </c>
    </row>
    <row r="142" spans="1:4" x14ac:dyDescent="0.25">
      <c r="A142" t="s">
        <v>954</v>
      </c>
      <c r="B142" t="s">
        <v>536</v>
      </c>
      <c r="C142" s="3">
        <v>41528</v>
      </c>
      <c r="D142" t="s">
        <v>1455</v>
      </c>
    </row>
    <row r="143" spans="1:4" x14ac:dyDescent="0.25">
      <c r="A143" t="s">
        <v>955</v>
      </c>
      <c r="B143" t="s">
        <v>534</v>
      </c>
      <c r="C143" s="3">
        <v>41535</v>
      </c>
      <c r="D143" t="s">
        <v>1456</v>
      </c>
    </row>
    <row r="144" spans="1:4" x14ac:dyDescent="0.25">
      <c r="A144" t="s">
        <v>956</v>
      </c>
      <c r="B144" t="s">
        <v>532</v>
      </c>
      <c r="C144" s="3">
        <v>41542</v>
      </c>
      <c r="D144" t="s">
        <v>1457</v>
      </c>
    </row>
    <row r="145" spans="1:4" x14ac:dyDescent="0.25">
      <c r="A145" t="s">
        <v>957</v>
      </c>
      <c r="B145" t="s">
        <v>530</v>
      </c>
      <c r="C145" s="3">
        <v>41549</v>
      </c>
      <c r="D145" t="s">
        <v>1458</v>
      </c>
    </row>
    <row r="146" spans="1:4" x14ac:dyDescent="0.25">
      <c r="A146" t="s">
        <v>958</v>
      </c>
      <c r="B146" t="s">
        <v>528</v>
      </c>
      <c r="C146" s="3">
        <v>41556</v>
      </c>
      <c r="D146" t="s">
        <v>1459</v>
      </c>
    </row>
    <row r="147" spans="1:4" x14ac:dyDescent="0.25">
      <c r="A147" t="s">
        <v>959</v>
      </c>
      <c r="B147" t="s">
        <v>526</v>
      </c>
      <c r="C147" s="3">
        <v>41563</v>
      </c>
      <c r="D147" t="s">
        <v>1460</v>
      </c>
    </row>
    <row r="148" spans="1:4" x14ac:dyDescent="0.25">
      <c r="A148" t="s">
        <v>960</v>
      </c>
      <c r="B148" t="s">
        <v>524</v>
      </c>
      <c r="C148" s="3">
        <v>41570</v>
      </c>
      <c r="D148" t="s">
        <v>1461</v>
      </c>
    </row>
    <row r="149" spans="1:4" x14ac:dyDescent="0.25">
      <c r="A149" t="s">
        <v>961</v>
      </c>
      <c r="B149" t="s">
        <v>522</v>
      </c>
      <c r="C149" s="3">
        <v>41577</v>
      </c>
      <c r="D149" t="s">
        <v>1462</v>
      </c>
    </row>
    <row r="150" spans="1:4" x14ac:dyDescent="0.25">
      <c r="A150" t="s">
        <v>1032</v>
      </c>
      <c r="B150" t="s">
        <v>520</v>
      </c>
      <c r="C150" s="3">
        <v>41584</v>
      </c>
      <c r="D150" t="s">
        <v>1463</v>
      </c>
    </row>
    <row r="151" spans="1:4" x14ac:dyDescent="0.25">
      <c r="A151" t="s">
        <v>1033</v>
      </c>
      <c r="B151" t="s">
        <v>518</v>
      </c>
      <c r="C151" s="3">
        <v>41591</v>
      </c>
      <c r="D151" t="s">
        <v>1464</v>
      </c>
    </row>
    <row r="152" spans="1:4" x14ac:dyDescent="0.25">
      <c r="A152" t="s">
        <v>962</v>
      </c>
      <c r="B152" t="s">
        <v>516</v>
      </c>
      <c r="C152" s="3">
        <v>41885</v>
      </c>
      <c r="D152" t="s">
        <v>1465</v>
      </c>
    </row>
    <row r="153" spans="1:4" x14ac:dyDescent="0.25">
      <c r="A153" t="s">
        <v>963</v>
      </c>
      <c r="B153" t="s">
        <v>514</v>
      </c>
      <c r="C153" s="3">
        <v>41892</v>
      </c>
      <c r="D153" t="s">
        <v>1466</v>
      </c>
    </row>
    <row r="154" spans="1:4" x14ac:dyDescent="0.25">
      <c r="A154" t="s">
        <v>964</v>
      </c>
      <c r="B154" t="s">
        <v>512</v>
      </c>
      <c r="C154" s="3">
        <v>41899</v>
      </c>
      <c r="D154" t="s">
        <v>1467</v>
      </c>
    </row>
    <row r="155" spans="1:4" x14ac:dyDescent="0.25">
      <c r="A155" t="s">
        <v>965</v>
      </c>
      <c r="B155" t="s">
        <v>510</v>
      </c>
      <c r="C155" s="3">
        <v>41906</v>
      </c>
      <c r="D155" t="s">
        <v>1468</v>
      </c>
    </row>
    <row r="156" spans="1:4" x14ac:dyDescent="0.25">
      <c r="A156" t="s">
        <v>966</v>
      </c>
      <c r="B156" t="s">
        <v>508</v>
      </c>
      <c r="C156" s="3">
        <v>41913</v>
      </c>
      <c r="D156" t="s">
        <v>1469</v>
      </c>
    </row>
    <row r="157" spans="1:4" x14ac:dyDescent="0.25">
      <c r="A157" t="s">
        <v>967</v>
      </c>
      <c r="B157" t="s">
        <v>506</v>
      </c>
      <c r="C157" s="3">
        <v>41920</v>
      </c>
      <c r="D157" t="s">
        <v>1470</v>
      </c>
    </row>
    <row r="158" spans="1:4" x14ac:dyDescent="0.25">
      <c r="A158" t="s">
        <v>968</v>
      </c>
      <c r="B158" t="s">
        <v>504</v>
      </c>
      <c r="C158" s="3">
        <v>41927</v>
      </c>
      <c r="D158" t="s">
        <v>1471</v>
      </c>
    </row>
    <row r="159" spans="1:4" x14ac:dyDescent="0.25">
      <c r="A159" t="s">
        <v>969</v>
      </c>
      <c r="B159" t="s">
        <v>502</v>
      </c>
      <c r="C159" s="3">
        <v>41934</v>
      </c>
      <c r="D159" t="s">
        <v>1472</v>
      </c>
    </row>
    <row r="160" spans="1:4" x14ac:dyDescent="0.25">
      <c r="A160" t="s">
        <v>970</v>
      </c>
      <c r="B160" t="s">
        <v>500</v>
      </c>
      <c r="C160" s="3">
        <v>41941</v>
      </c>
      <c r="D160" t="s">
        <v>1473</v>
      </c>
    </row>
    <row r="161" spans="1:4" x14ac:dyDescent="0.25">
      <c r="A161" t="s">
        <v>971</v>
      </c>
      <c r="B161" t="s">
        <v>498</v>
      </c>
      <c r="C161" s="3">
        <v>41948</v>
      </c>
      <c r="D161" t="s">
        <v>1474</v>
      </c>
    </row>
    <row r="162" spans="1:4" x14ac:dyDescent="0.25">
      <c r="A162" t="s">
        <v>972</v>
      </c>
      <c r="B162" t="s">
        <v>496</v>
      </c>
      <c r="C162" s="3">
        <v>42194</v>
      </c>
      <c r="D162" t="s">
        <v>1475</v>
      </c>
    </row>
    <row r="163" spans="1:4" x14ac:dyDescent="0.25">
      <c r="A163" t="s">
        <v>973</v>
      </c>
      <c r="B163" t="s">
        <v>494</v>
      </c>
      <c r="C163" s="3">
        <v>42201</v>
      </c>
      <c r="D163" t="s">
        <v>1476</v>
      </c>
    </row>
    <row r="164" spans="1:4" x14ac:dyDescent="0.25">
      <c r="A164" t="s">
        <v>974</v>
      </c>
      <c r="B164" t="s">
        <v>492</v>
      </c>
      <c r="C164" s="3">
        <v>42208</v>
      </c>
      <c r="D164" t="s">
        <v>1477</v>
      </c>
    </row>
    <row r="165" spans="1:4" x14ac:dyDescent="0.25">
      <c r="A165" t="s">
        <v>975</v>
      </c>
      <c r="B165" t="s">
        <v>490</v>
      </c>
      <c r="C165" s="3">
        <v>42215</v>
      </c>
      <c r="D165" t="s">
        <v>1478</v>
      </c>
    </row>
    <row r="166" spans="1:4" x14ac:dyDescent="0.25">
      <c r="A166" t="s">
        <v>976</v>
      </c>
      <c r="B166" t="s">
        <v>488</v>
      </c>
      <c r="C166" s="3">
        <v>42256</v>
      </c>
      <c r="D166" t="s">
        <v>1479</v>
      </c>
    </row>
    <row r="167" spans="1:4" x14ac:dyDescent="0.25">
      <c r="A167" t="s">
        <v>977</v>
      </c>
      <c r="B167" t="s">
        <v>486</v>
      </c>
      <c r="C167" s="3">
        <v>42263</v>
      </c>
      <c r="D167" t="s">
        <v>1480</v>
      </c>
    </row>
    <row r="168" spans="1:4" x14ac:dyDescent="0.25">
      <c r="A168" t="s">
        <v>978</v>
      </c>
      <c r="B168" t="s">
        <v>484</v>
      </c>
      <c r="C168" s="3">
        <v>42270</v>
      </c>
      <c r="D168" t="s">
        <v>1481</v>
      </c>
    </row>
    <row r="169" spans="1:4" x14ac:dyDescent="0.25">
      <c r="A169" t="s">
        <v>979</v>
      </c>
      <c r="B169" t="s">
        <v>482</v>
      </c>
      <c r="C169" s="3">
        <v>42277</v>
      </c>
      <c r="D169" t="s">
        <v>1482</v>
      </c>
    </row>
    <row r="170" spans="1:4" x14ac:dyDescent="0.25">
      <c r="A170" t="s">
        <v>980</v>
      </c>
      <c r="B170" t="s">
        <v>480</v>
      </c>
      <c r="C170" s="3">
        <v>42284</v>
      </c>
      <c r="D170" t="s">
        <v>1483</v>
      </c>
    </row>
    <row r="171" spans="1:4" x14ac:dyDescent="0.25">
      <c r="A171" t="s">
        <v>981</v>
      </c>
      <c r="B171" t="s">
        <v>478</v>
      </c>
      <c r="C171" s="3">
        <v>42291</v>
      </c>
      <c r="D171" t="s">
        <v>1484</v>
      </c>
    </row>
    <row r="172" spans="1:4" x14ac:dyDescent="0.25">
      <c r="A172" t="s">
        <v>982</v>
      </c>
      <c r="B172" t="s">
        <v>476</v>
      </c>
      <c r="C172" s="3">
        <v>42298</v>
      </c>
      <c r="D172" t="s">
        <v>1485</v>
      </c>
    </row>
    <row r="173" spans="1:4" x14ac:dyDescent="0.25">
      <c r="A173" t="s">
        <v>983</v>
      </c>
      <c r="B173" t="s">
        <v>474</v>
      </c>
      <c r="C173" s="3">
        <v>42305</v>
      </c>
      <c r="D173" t="s">
        <v>1486</v>
      </c>
    </row>
    <row r="174" spans="1:4" x14ac:dyDescent="0.25">
      <c r="A174" t="s">
        <v>984</v>
      </c>
      <c r="B174" t="s">
        <v>472</v>
      </c>
      <c r="C174" s="3">
        <v>42321</v>
      </c>
      <c r="D174" t="s">
        <v>1487</v>
      </c>
    </row>
    <row r="175" spans="1:4" x14ac:dyDescent="0.25">
      <c r="A175" t="s">
        <v>985</v>
      </c>
      <c r="B175" t="s">
        <v>470</v>
      </c>
      <c r="C175" s="3">
        <v>42634</v>
      </c>
      <c r="D175" t="s">
        <v>1488</v>
      </c>
    </row>
    <row r="176" spans="1:4" x14ac:dyDescent="0.25">
      <c r="A176" t="s">
        <v>986</v>
      </c>
      <c r="B176" t="s">
        <v>468</v>
      </c>
      <c r="C176" s="3">
        <v>42641</v>
      </c>
      <c r="D176" t="s">
        <v>1489</v>
      </c>
    </row>
    <row r="177" spans="1:4" x14ac:dyDescent="0.25">
      <c r="A177" t="s">
        <v>987</v>
      </c>
      <c r="B177" t="s">
        <v>466</v>
      </c>
      <c r="C177" s="3">
        <v>42648</v>
      </c>
      <c r="D177" t="s">
        <v>1490</v>
      </c>
    </row>
    <row r="178" spans="1:4" x14ac:dyDescent="0.25">
      <c r="A178" t="s">
        <v>988</v>
      </c>
      <c r="B178" t="s">
        <v>464</v>
      </c>
      <c r="C178" s="3">
        <v>42655</v>
      </c>
      <c r="D178" t="s">
        <v>1491</v>
      </c>
    </row>
    <row r="179" spans="1:4" x14ac:dyDescent="0.25">
      <c r="A179" t="s">
        <v>989</v>
      </c>
      <c r="B179" t="s">
        <v>462</v>
      </c>
      <c r="C179" s="3">
        <v>42662</v>
      </c>
      <c r="D179" t="s">
        <v>1334</v>
      </c>
    </row>
    <row r="180" spans="1:4" x14ac:dyDescent="0.25">
      <c r="A180" t="s">
        <v>990</v>
      </c>
      <c r="B180" t="s">
        <v>460</v>
      </c>
      <c r="C180" s="3">
        <v>42669</v>
      </c>
      <c r="D180" t="s">
        <v>1492</v>
      </c>
    </row>
    <row r="181" spans="1:4" x14ac:dyDescent="0.25">
      <c r="A181" t="s">
        <v>991</v>
      </c>
      <c r="B181" t="s">
        <v>458</v>
      </c>
      <c r="C181" s="3">
        <v>42676</v>
      </c>
      <c r="D181" t="s">
        <v>1493</v>
      </c>
    </row>
    <row r="182" spans="1:4" x14ac:dyDescent="0.25">
      <c r="A182" t="s">
        <v>992</v>
      </c>
      <c r="B182" t="s">
        <v>456</v>
      </c>
      <c r="C182" s="3">
        <v>42691</v>
      </c>
      <c r="D182" t="s">
        <v>1494</v>
      </c>
    </row>
    <row r="183" spans="1:4" x14ac:dyDescent="0.25">
      <c r="A183" t="s">
        <v>993</v>
      </c>
      <c r="B183" t="s">
        <v>454</v>
      </c>
      <c r="C183" s="3">
        <v>42885</v>
      </c>
      <c r="D183" t="s">
        <v>1495</v>
      </c>
    </row>
    <row r="184" spans="1:4" x14ac:dyDescent="0.25">
      <c r="A184" t="s">
        <v>994</v>
      </c>
      <c r="B184" t="s">
        <v>452</v>
      </c>
      <c r="C184" s="3">
        <v>42984</v>
      </c>
      <c r="D184" t="s">
        <v>1496</v>
      </c>
    </row>
    <row r="185" spans="1:4" x14ac:dyDescent="0.25">
      <c r="A185" t="s">
        <v>995</v>
      </c>
      <c r="B185" t="s">
        <v>450</v>
      </c>
      <c r="C185" s="3">
        <v>42991</v>
      </c>
      <c r="D185" t="s">
        <v>1497</v>
      </c>
    </row>
    <row r="186" spans="1:4" x14ac:dyDescent="0.25">
      <c r="A186" t="s">
        <v>996</v>
      </c>
      <c r="B186" t="s">
        <v>448</v>
      </c>
      <c r="C186" s="3">
        <v>42998</v>
      </c>
      <c r="D186" t="s">
        <v>1498</v>
      </c>
    </row>
    <row r="187" spans="1:4" x14ac:dyDescent="0.25">
      <c r="A187" t="s">
        <v>997</v>
      </c>
      <c r="B187" t="s">
        <v>446</v>
      </c>
      <c r="C187" s="3">
        <v>43005</v>
      </c>
      <c r="D187" t="s">
        <v>1335</v>
      </c>
    </row>
    <row r="188" spans="1:4" x14ac:dyDescent="0.25">
      <c r="A188" t="s">
        <v>998</v>
      </c>
      <c r="B188" t="s">
        <v>444</v>
      </c>
      <c r="C188" s="3">
        <v>43012</v>
      </c>
      <c r="D188" t="s">
        <v>1335</v>
      </c>
    </row>
    <row r="189" spans="1:4" x14ac:dyDescent="0.25">
      <c r="A189" t="s">
        <v>999</v>
      </c>
      <c r="B189" t="s">
        <v>442</v>
      </c>
      <c r="C189" s="3">
        <v>43019</v>
      </c>
      <c r="D189" t="s">
        <v>1499</v>
      </c>
    </row>
    <row r="190" spans="1:4" x14ac:dyDescent="0.25">
      <c r="A190" t="s">
        <v>1000</v>
      </c>
      <c r="B190" t="s">
        <v>440</v>
      </c>
      <c r="C190" s="3">
        <v>43026</v>
      </c>
      <c r="D190" t="s">
        <v>1335</v>
      </c>
    </row>
    <row r="191" spans="1:4" x14ac:dyDescent="0.25">
      <c r="A191" t="s">
        <v>1001</v>
      </c>
      <c r="B191" t="s">
        <v>438</v>
      </c>
      <c r="C191" s="3">
        <v>43033</v>
      </c>
      <c r="D191" t="s">
        <v>1500</v>
      </c>
    </row>
    <row r="192" spans="1:4" x14ac:dyDescent="0.25">
      <c r="A192" t="s">
        <v>1002</v>
      </c>
      <c r="B192" t="s">
        <v>436</v>
      </c>
      <c r="C192" s="3">
        <v>43040</v>
      </c>
      <c r="D192" t="s">
        <v>1501</v>
      </c>
    </row>
    <row r="193" spans="1:4" x14ac:dyDescent="0.25">
      <c r="A193" t="s">
        <v>1003</v>
      </c>
      <c r="B193" t="s">
        <v>434</v>
      </c>
      <c r="C193" s="3">
        <v>43362</v>
      </c>
      <c r="D193" t="s">
        <v>1502</v>
      </c>
    </row>
    <row r="194" spans="1:4" x14ac:dyDescent="0.25">
      <c r="A194" t="s">
        <v>1004</v>
      </c>
      <c r="B194" t="s">
        <v>432</v>
      </c>
      <c r="C194" s="3">
        <v>43369</v>
      </c>
      <c r="D194" t="s">
        <v>1503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2B449-C2C2-46A6-AC73-5F3CE7B8DF26}">
  <dimension ref="A1:C190"/>
  <sheetViews>
    <sheetView workbookViewId="0">
      <selection activeCell="B14" sqref="B14"/>
    </sheetView>
  </sheetViews>
  <sheetFormatPr defaultRowHeight="15" x14ac:dyDescent="0.25"/>
  <cols>
    <col min="1" max="1" width="17.7109375" bestFit="1" customWidth="1"/>
    <col min="2" max="2" width="106.85546875" bestFit="1" customWidth="1"/>
  </cols>
  <sheetData>
    <row r="1" spans="1:3" x14ac:dyDescent="0.25">
      <c r="A1" t="s">
        <v>819</v>
      </c>
      <c r="B1" t="s">
        <v>417</v>
      </c>
      <c r="C1" t="s">
        <v>1700</v>
      </c>
    </row>
    <row r="2" spans="1:3" x14ac:dyDescent="0.25">
      <c r="A2" t="s">
        <v>820</v>
      </c>
      <c r="B2" t="s">
        <v>1121</v>
      </c>
      <c r="C2" t="s">
        <v>1511</v>
      </c>
    </row>
    <row r="3" spans="1:3" x14ac:dyDescent="0.25">
      <c r="A3" t="s">
        <v>821</v>
      </c>
      <c r="B3" t="s">
        <v>1122</v>
      </c>
      <c r="C3" t="s">
        <v>1512</v>
      </c>
    </row>
    <row r="4" spans="1:3" x14ac:dyDescent="0.25">
      <c r="A4" t="s">
        <v>822</v>
      </c>
      <c r="B4" t="s">
        <v>1123</v>
      </c>
      <c r="C4" t="s">
        <v>1513</v>
      </c>
    </row>
    <row r="5" spans="1:3" x14ac:dyDescent="0.25">
      <c r="A5" t="s">
        <v>823</v>
      </c>
      <c r="B5" t="s">
        <v>1124</v>
      </c>
      <c r="C5" t="s">
        <v>1514</v>
      </c>
    </row>
    <row r="6" spans="1:3" x14ac:dyDescent="0.25">
      <c r="A6" t="s">
        <v>824</v>
      </c>
      <c r="B6" t="s">
        <v>1125</v>
      </c>
      <c r="C6" t="s">
        <v>1515</v>
      </c>
    </row>
    <row r="7" spans="1:3" x14ac:dyDescent="0.25">
      <c r="A7" t="s">
        <v>825</v>
      </c>
      <c r="B7" t="s">
        <v>1126</v>
      </c>
      <c r="C7" t="s">
        <v>1516</v>
      </c>
    </row>
    <row r="8" spans="1:3" x14ac:dyDescent="0.25">
      <c r="A8" t="s">
        <v>826</v>
      </c>
      <c r="B8" t="s">
        <v>1127</v>
      </c>
      <c r="C8" t="s">
        <v>1517</v>
      </c>
    </row>
    <row r="9" spans="1:3" x14ac:dyDescent="0.25">
      <c r="A9" t="s">
        <v>827</v>
      </c>
      <c r="B9" t="s">
        <v>1128</v>
      </c>
      <c r="C9" t="s">
        <v>1518</v>
      </c>
    </row>
    <row r="10" spans="1:3" x14ac:dyDescent="0.25">
      <c r="A10" t="s">
        <v>837</v>
      </c>
      <c r="B10" t="s">
        <v>1129</v>
      </c>
      <c r="C10" t="s">
        <v>1519</v>
      </c>
    </row>
    <row r="11" spans="1:3" x14ac:dyDescent="0.25">
      <c r="A11" t="s">
        <v>838</v>
      </c>
      <c r="B11" t="s">
        <v>1130</v>
      </c>
      <c r="C11" t="s">
        <v>1520</v>
      </c>
    </row>
    <row r="12" spans="1:3" x14ac:dyDescent="0.25">
      <c r="A12" t="s">
        <v>839</v>
      </c>
      <c r="B12" t="s">
        <v>1131</v>
      </c>
      <c r="C12" t="s">
        <v>1521</v>
      </c>
    </row>
    <row r="13" spans="1:3" x14ac:dyDescent="0.25">
      <c r="A13" t="s">
        <v>840</v>
      </c>
      <c r="B13" t="s">
        <v>1132</v>
      </c>
      <c r="C13" t="s">
        <v>1522</v>
      </c>
    </row>
    <row r="14" spans="1:3" x14ac:dyDescent="0.25">
      <c r="A14" t="s">
        <v>841</v>
      </c>
      <c r="B14" t="s">
        <v>1133</v>
      </c>
      <c r="C14" t="s">
        <v>1523</v>
      </c>
    </row>
    <row r="15" spans="1:3" x14ac:dyDescent="0.25">
      <c r="A15" t="s">
        <v>842</v>
      </c>
      <c r="B15" t="s">
        <v>1134</v>
      </c>
      <c r="C15" t="s">
        <v>1524</v>
      </c>
    </row>
    <row r="16" spans="1:3" x14ac:dyDescent="0.25">
      <c r="A16" t="s">
        <v>843</v>
      </c>
      <c r="B16" t="s">
        <v>1135</v>
      </c>
      <c r="C16" t="s">
        <v>1525</v>
      </c>
    </row>
    <row r="17" spans="1:3" x14ac:dyDescent="0.25">
      <c r="A17" t="s">
        <v>844</v>
      </c>
      <c r="B17" t="s">
        <v>1136</v>
      </c>
      <c r="C17" t="s">
        <v>1526</v>
      </c>
    </row>
    <row r="18" spans="1:3" x14ac:dyDescent="0.25">
      <c r="A18" t="s">
        <v>845</v>
      </c>
      <c r="B18" t="s">
        <v>1137</v>
      </c>
      <c r="C18" t="s">
        <v>1527</v>
      </c>
    </row>
    <row r="19" spans="1:3" x14ac:dyDescent="0.25">
      <c r="A19" t="s">
        <v>846</v>
      </c>
      <c r="B19" t="s">
        <v>1138</v>
      </c>
      <c r="C19" t="s">
        <v>1528</v>
      </c>
    </row>
    <row r="20" spans="1:3" x14ac:dyDescent="0.25">
      <c r="A20" t="s">
        <v>847</v>
      </c>
      <c r="B20" t="s">
        <v>1139</v>
      </c>
      <c r="C20" t="s">
        <v>1529</v>
      </c>
    </row>
    <row r="21" spans="1:3" x14ac:dyDescent="0.25">
      <c r="A21" t="s">
        <v>848</v>
      </c>
      <c r="B21" t="s">
        <v>1140</v>
      </c>
      <c r="C21" t="s">
        <v>1530</v>
      </c>
    </row>
    <row r="22" spans="1:3" x14ac:dyDescent="0.25">
      <c r="A22" t="s">
        <v>1010</v>
      </c>
      <c r="B22" t="s">
        <v>1141</v>
      </c>
      <c r="C22" t="s">
        <v>1531</v>
      </c>
    </row>
    <row r="23" spans="1:3" x14ac:dyDescent="0.25">
      <c r="A23" t="s">
        <v>1011</v>
      </c>
      <c r="B23" t="s">
        <v>1142</v>
      </c>
      <c r="C23" t="s">
        <v>1532</v>
      </c>
    </row>
    <row r="24" spans="1:3" x14ac:dyDescent="0.25">
      <c r="A24" t="s">
        <v>1012</v>
      </c>
      <c r="B24" t="s">
        <v>1143</v>
      </c>
      <c r="C24" t="s">
        <v>1533</v>
      </c>
    </row>
    <row r="25" spans="1:3" x14ac:dyDescent="0.25">
      <c r="A25" t="s">
        <v>1013</v>
      </c>
      <c r="B25" t="s">
        <v>1144</v>
      </c>
      <c r="C25" t="s">
        <v>1534</v>
      </c>
    </row>
    <row r="26" spans="1:3" x14ac:dyDescent="0.25">
      <c r="A26" t="s">
        <v>1014</v>
      </c>
      <c r="B26" t="s">
        <v>1145</v>
      </c>
      <c r="C26" t="s">
        <v>1535</v>
      </c>
    </row>
    <row r="27" spans="1:3" x14ac:dyDescent="0.25">
      <c r="A27" t="s">
        <v>849</v>
      </c>
      <c r="B27" t="s">
        <v>1146</v>
      </c>
      <c r="C27" t="s">
        <v>1536</v>
      </c>
    </row>
    <row r="28" spans="1:3" x14ac:dyDescent="0.25">
      <c r="A28" t="s">
        <v>850</v>
      </c>
      <c r="B28" t="s">
        <v>1147</v>
      </c>
      <c r="C28" t="s">
        <v>1537</v>
      </c>
    </row>
    <row r="29" spans="1:3" x14ac:dyDescent="0.25">
      <c r="A29" t="s">
        <v>851</v>
      </c>
      <c r="B29" t="s">
        <v>1148</v>
      </c>
      <c r="C29" t="s">
        <v>1538</v>
      </c>
    </row>
    <row r="30" spans="1:3" x14ac:dyDescent="0.25">
      <c r="A30" t="s">
        <v>852</v>
      </c>
      <c r="B30" t="s">
        <v>1149</v>
      </c>
      <c r="C30" t="s">
        <v>1539</v>
      </c>
    </row>
    <row r="31" spans="1:3" x14ac:dyDescent="0.25">
      <c r="A31" t="s">
        <v>854</v>
      </c>
      <c r="B31" t="s">
        <v>1150</v>
      </c>
      <c r="C31" t="s">
        <v>1540</v>
      </c>
    </row>
    <row r="32" spans="1:3" x14ac:dyDescent="0.25">
      <c r="A32" t="s">
        <v>855</v>
      </c>
      <c r="B32" t="s">
        <v>1151</v>
      </c>
      <c r="C32" t="s">
        <v>1541</v>
      </c>
    </row>
    <row r="33" spans="1:3" x14ac:dyDescent="0.25">
      <c r="A33" t="s">
        <v>856</v>
      </c>
      <c r="B33" t="s">
        <v>1152</v>
      </c>
      <c r="C33" t="s">
        <v>1542</v>
      </c>
    </row>
    <row r="34" spans="1:3" x14ac:dyDescent="0.25">
      <c r="A34" t="s">
        <v>859</v>
      </c>
      <c r="B34" t="s">
        <v>1153</v>
      </c>
      <c r="C34" t="s">
        <v>1543</v>
      </c>
    </row>
    <row r="35" spans="1:3" x14ac:dyDescent="0.25">
      <c r="A35" t="s">
        <v>860</v>
      </c>
      <c r="B35" t="s">
        <v>1154</v>
      </c>
      <c r="C35" t="s">
        <v>1544</v>
      </c>
    </row>
    <row r="36" spans="1:3" x14ac:dyDescent="0.25">
      <c r="A36" t="s">
        <v>864</v>
      </c>
      <c r="B36" t="s">
        <v>1155</v>
      </c>
      <c r="C36" t="s">
        <v>1545</v>
      </c>
    </row>
    <row r="37" spans="1:3" x14ac:dyDescent="0.25">
      <c r="A37" t="s">
        <v>865</v>
      </c>
      <c r="B37" t="s">
        <v>1156</v>
      </c>
      <c r="C37" t="s">
        <v>1546</v>
      </c>
    </row>
    <row r="38" spans="1:3" x14ac:dyDescent="0.25">
      <c r="A38" t="s">
        <v>866</v>
      </c>
      <c r="B38" t="s">
        <v>1157</v>
      </c>
      <c r="C38" t="s">
        <v>1547</v>
      </c>
    </row>
    <row r="39" spans="1:3" x14ac:dyDescent="0.25">
      <c r="A39" t="s">
        <v>867</v>
      </c>
      <c r="B39" t="s">
        <v>1158</v>
      </c>
      <c r="C39" t="s">
        <v>1548</v>
      </c>
    </row>
    <row r="40" spans="1:3" x14ac:dyDescent="0.25">
      <c r="A40" t="s">
        <v>868</v>
      </c>
      <c r="B40" t="s">
        <v>1159</v>
      </c>
      <c r="C40" t="s">
        <v>1549</v>
      </c>
    </row>
    <row r="41" spans="1:3" x14ac:dyDescent="0.25">
      <c r="A41" t="s">
        <v>869</v>
      </c>
      <c r="B41" t="s">
        <v>1160</v>
      </c>
      <c r="C41" t="s">
        <v>1550</v>
      </c>
    </row>
    <row r="42" spans="1:3" x14ac:dyDescent="0.25">
      <c r="A42" t="s">
        <v>870</v>
      </c>
      <c r="B42" t="s">
        <v>1161</v>
      </c>
      <c r="C42" t="s">
        <v>1551</v>
      </c>
    </row>
    <row r="43" spans="1:3" x14ac:dyDescent="0.25">
      <c r="A43" t="s">
        <v>871</v>
      </c>
      <c r="B43" t="s">
        <v>1162</v>
      </c>
      <c r="C43" t="s">
        <v>1552</v>
      </c>
    </row>
    <row r="44" spans="1:3" x14ac:dyDescent="0.25">
      <c r="A44" t="s">
        <v>877</v>
      </c>
      <c r="B44" t="s">
        <v>1163</v>
      </c>
      <c r="C44" t="s">
        <v>1553</v>
      </c>
    </row>
    <row r="45" spans="1:3" x14ac:dyDescent="0.25">
      <c r="A45" t="s">
        <v>878</v>
      </c>
      <c r="B45" t="s">
        <v>1164</v>
      </c>
      <c r="C45" t="s">
        <v>1554</v>
      </c>
    </row>
    <row r="46" spans="1:3" x14ac:dyDescent="0.25">
      <c r="A46" t="s">
        <v>879</v>
      </c>
      <c r="B46" t="s">
        <v>1165</v>
      </c>
      <c r="C46" t="s">
        <v>1555</v>
      </c>
    </row>
    <row r="47" spans="1:3" x14ac:dyDescent="0.25">
      <c r="A47" t="s">
        <v>880</v>
      </c>
      <c r="B47" t="s">
        <v>1166</v>
      </c>
      <c r="C47" t="s">
        <v>1556</v>
      </c>
    </row>
    <row r="48" spans="1:3" x14ac:dyDescent="0.25">
      <c r="A48" t="s">
        <v>882</v>
      </c>
      <c r="B48" t="s">
        <v>1167</v>
      </c>
      <c r="C48" t="s">
        <v>1557</v>
      </c>
    </row>
    <row r="49" spans="1:3" x14ac:dyDescent="0.25">
      <c r="A49" t="s">
        <v>884</v>
      </c>
      <c r="B49" t="s">
        <v>1168</v>
      </c>
      <c r="C49" t="s">
        <v>1558</v>
      </c>
    </row>
    <row r="50" spans="1:3" x14ac:dyDescent="0.25">
      <c r="A50" t="s">
        <v>885</v>
      </c>
      <c r="B50" t="s">
        <v>1169</v>
      </c>
      <c r="C50" t="s">
        <v>1559</v>
      </c>
    </row>
    <row r="51" spans="1:3" x14ac:dyDescent="0.25">
      <c r="A51" t="s">
        <v>1015</v>
      </c>
      <c r="B51" t="s">
        <v>1170</v>
      </c>
      <c r="C51" t="s">
        <v>1560</v>
      </c>
    </row>
    <row r="52" spans="1:3" x14ac:dyDescent="0.25">
      <c r="A52" t="s">
        <v>886</v>
      </c>
      <c r="B52" t="s">
        <v>1171</v>
      </c>
      <c r="C52" t="s">
        <v>1561</v>
      </c>
    </row>
    <row r="53" spans="1:3" x14ac:dyDescent="0.25">
      <c r="A53" t="s">
        <v>887</v>
      </c>
      <c r="B53" t="s">
        <v>1172</v>
      </c>
      <c r="C53" t="s">
        <v>1562</v>
      </c>
    </row>
    <row r="54" spans="1:3" x14ac:dyDescent="0.25">
      <c r="A54" t="s">
        <v>888</v>
      </c>
      <c r="B54" t="s">
        <v>1173</v>
      </c>
      <c r="C54" t="s">
        <v>1563</v>
      </c>
    </row>
    <row r="55" spans="1:3" x14ac:dyDescent="0.25">
      <c r="A55" t="s">
        <v>889</v>
      </c>
      <c r="B55" t="s">
        <v>1174</v>
      </c>
      <c r="C55" t="s">
        <v>1564</v>
      </c>
    </row>
    <row r="56" spans="1:3" x14ac:dyDescent="0.25">
      <c r="A56" t="s">
        <v>892</v>
      </c>
      <c r="B56" t="s">
        <v>1175</v>
      </c>
      <c r="C56" t="s">
        <v>1565</v>
      </c>
    </row>
    <row r="57" spans="1:3" x14ac:dyDescent="0.25">
      <c r="A57" t="s">
        <v>893</v>
      </c>
      <c r="B57" t="s">
        <v>1176</v>
      </c>
      <c r="C57" t="s">
        <v>1566</v>
      </c>
    </row>
    <row r="58" spans="1:3" x14ac:dyDescent="0.25">
      <c r="A58" t="s">
        <v>894</v>
      </c>
      <c r="B58" t="s">
        <v>1177</v>
      </c>
      <c r="C58" t="s">
        <v>1567</v>
      </c>
    </row>
    <row r="59" spans="1:3" x14ac:dyDescent="0.25">
      <c r="A59" t="s">
        <v>895</v>
      </c>
      <c r="B59" t="s">
        <v>1178</v>
      </c>
      <c r="C59" t="s">
        <v>1568</v>
      </c>
    </row>
    <row r="60" spans="1:3" x14ac:dyDescent="0.25">
      <c r="A60" t="s">
        <v>896</v>
      </c>
      <c r="B60" t="s">
        <v>1179</v>
      </c>
      <c r="C60" t="s">
        <v>1569</v>
      </c>
    </row>
    <row r="61" spans="1:3" x14ac:dyDescent="0.25">
      <c r="A61" t="s">
        <v>897</v>
      </c>
      <c r="B61" t="s">
        <v>1180</v>
      </c>
      <c r="C61" t="s">
        <v>1570</v>
      </c>
    </row>
    <row r="62" spans="1:3" x14ac:dyDescent="0.25">
      <c r="A62" t="s">
        <v>898</v>
      </c>
      <c r="B62" t="s">
        <v>1181</v>
      </c>
      <c r="C62" t="s">
        <v>1571</v>
      </c>
    </row>
    <row r="63" spans="1:3" x14ac:dyDescent="0.25">
      <c r="A63" t="s">
        <v>899</v>
      </c>
      <c r="B63" t="s">
        <v>1182</v>
      </c>
      <c r="C63" t="s">
        <v>1572</v>
      </c>
    </row>
    <row r="64" spans="1:3" x14ac:dyDescent="0.25">
      <c r="A64" t="s">
        <v>900</v>
      </c>
      <c r="B64" t="s">
        <v>1183</v>
      </c>
      <c r="C64" t="s">
        <v>1573</v>
      </c>
    </row>
    <row r="65" spans="1:3" x14ac:dyDescent="0.25">
      <c r="A65" t="s">
        <v>901</v>
      </c>
      <c r="B65" t="s">
        <v>1184</v>
      </c>
      <c r="C65" t="s">
        <v>1574</v>
      </c>
    </row>
    <row r="66" spans="1:3" x14ac:dyDescent="0.25">
      <c r="A66" t="s">
        <v>902</v>
      </c>
      <c r="B66" t="s">
        <v>1185</v>
      </c>
      <c r="C66" t="s">
        <v>1575</v>
      </c>
    </row>
    <row r="67" spans="1:3" x14ac:dyDescent="0.25">
      <c r="A67" t="s">
        <v>903</v>
      </c>
      <c r="B67" t="s">
        <v>1186</v>
      </c>
      <c r="C67" t="s">
        <v>1576</v>
      </c>
    </row>
    <row r="68" spans="1:3" x14ac:dyDescent="0.25">
      <c r="A68" t="s">
        <v>904</v>
      </c>
      <c r="B68" t="s">
        <v>1187</v>
      </c>
      <c r="C68" t="s">
        <v>1577</v>
      </c>
    </row>
    <row r="69" spans="1:3" x14ac:dyDescent="0.25">
      <c r="A69" t="s">
        <v>905</v>
      </c>
      <c r="B69" t="s">
        <v>1188</v>
      </c>
      <c r="C69" t="s">
        <v>1578</v>
      </c>
    </row>
    <row r="70" spans="1:3" x14ac:dyDescent="0.25">
      <c r="A70" t="s">
        <v>906</v>
      </c>
      <c r="B70" t="s">
        <v>1189</v>
      </c>
      <c r="C70" t="s">
        <v>1579</v>
      </c>
    </row>
    <row r="71" spans="1:3" x14ac:dyDescent="0.25">
      <c r="A71" t="s">
        <v>907</v>
      </c>
      <c r="B71" t="s">
        <v>1190</v>
      </c>
      <c r="C71" t="s">
        <v>1580</v>
      </c>
    </row>
    <row r="72" spans="1:3" x14ac:dyDescent="0.25">
      <c r="A72" t="s">
        <v>908</v>
      </c>
      <c r="B72" t="s">
        <v>1191</v>
      </c>
      <c r="C72" t="s">
        <v>1581</v>
      </c>
    </row>
    <row r="73" spans="1:3" x14ac:dyDescent="0.25">
      <c r="A73" t="s">
        <v>909</v>
      </c>
      <c r="B73" t="s">
        <v>1192</v>
      </c>
      <c r="C73" t="s">
        <v>1582</v>
      </c>
    </row>
    <row r="74" spans="1:3" x14ac:dyDescent="0.25">
      <c r="A74" t="s">
        <v>910</v>
      </c>
      <c r="B74" t="s">
        <v>1193</v>
      </c>
      <c r="C74" t="s">
        <v>1583</v>
      </c>
    </row>
    <row r="75" spans="1:3" x14ac:dyDescent="0.25">
      <c r="A75" t="s">
        <v>911</v>
      </c>
      <c r="B75" t="s">
        <v>1194</v>
      </c>
      <c r="C75" t="s">
        <v>1584</v>
      </c>
    </row>
    <row r="76" spans="1:3" x14ac:dyDescent="0.25">
      <c r="A76" t="s">
        <v>912</v>
      </c>
      <c r="B76" t="s">
        <v>1195</v>
      </c>
      <c r="C76" t="s">
        <v>1585</v>
      </c>
    </row>
    <row r="77" spans="1:3" x14ac:dyDescent="0.25">
      <c r="A77" t="s">
        <v>1017</v>
      </c>
      <c r="B77" t="s">
        <v>1196</v>
      </c>
      <c r="C77" t="s">
        <v>1586</v>
      </c>
    </row>
    <row r="78" spans="1:3" x14ac:dyDescent="0.25">
      <c r="A78" t="s">
        <v>1018</v>
      </c>
      <c r="B78" t="s">
        <v>1197</v>
      </c>
      <c r="C78" t="s">
        <v>1587</v>
      </c>
    </row>
    <row r="79" spans="1:3" x14ac:dyDescent="0.25">
      <c r="A79" t="s">
        <v>1019</v>
      </c>
      <c r="B79" t="s">
        <v>1198</v>
      </c>
      <c r="C79" t="s">
        <v>1588</v>
      </c>
    </row>
    <row r="80" spans="1:3" x14ac:dyDescent="0.25">
      <c r="A80" t="s">
        <v>1020</v>
      </c>
      <c r="B80" t="s">
        <v>1199</v>
      </c>
      <c r="C80" t="s">
        <v>1589</v>
      </c>
    </row>
    <row r="81" spans="1:3" x14ac:dyDescent="0.25">
      <c r="A81" t="s">
        <v>913</v>
      </c>
      <c r="B81" t="s">
        <v>1200</v>
      </c>
      <c r="C81" t="s">
        <v>1590</v>
      </c>
    </row>
    <row r="82" spans="1:3" x14ac:dyDescent="0.25">
      <c r="A82" t="s">
        <v>914</v>
      </c>
      <c r="B82" t="s">
        <v>1201</v>
      </c>
      <c r="C82" t="s">
        <v>1591</v>
      </c>
    </row>
    <row r="83" spans="1:3" x14ac:dyDescent="0.25">
      <c r="A83" t="s">
        <v>915</v>
      </c>
      <c r="B83" t="s">
        <v>1202</v>
      </c>
      <c r="C83" t="s">
        <v>1592</v>
      </c>
    </row>
    <row r="84" spans="1:3" x14ac:dyDescent="0.25">
      <c r="A84" t="s">
        <v>916</v>
      </c>
      <c r="B84" t="s">
        <v>1203</v>
      </c>
      <c r="C84" t="s">
        <v>1593</v>
      </c>
    </row>
    <row r="85" spans="1:3" x14ac:dyDescent="0.25">
      <c r="A85" t="s">
        <v>917</v>
      </c>
      <c r="B85" t="s">
        <v>1204</v>
      </c>
      <c r="C85" t="s">
        <v>1594</v>
      </c>
    </row>
    <row r="86" spans="1:3" x14ac:dyDescent="0.25">
      <c r="A86" t="s">
        <v>918</v>
      </c>
      <c r="B86" t="s">
        <v>1205</v>
      </c>
      <c r="C86" t="s">
        <v>1595</v>
      </c>
    </row>
    <row r="87" spans="1:3" x14ac:dyDescent="0.25">
      <c r="A87" t="s">
        <v>919</v>
      </c>
      <c r="B87" t="s">
        <v>1206</v>
      </c>
      <c r="C87" t="s">
        <v>1596</v>
      </c>
    </row>
    <row r="88" spans="1:3" x14ac:dyDescent="0.25">
      <c r="A88" t="s">
        <v>920</v>
      </c>
      <c r="B88" t="s">
        <v>1207</v>
      </c>
      <c r="C88" t="s">
        <v>1597</v>
      </c>
    </row>
    <row r="89" spans="1:3" x14ac:dyDescent="0.25">
      <c r="A89" t="s">
        <v>921</v>
      </c>
      <c r="B89" t="s">
        <v>1208</v>
      </c>
      <c r="C89" t="s">
        <v>1598</v>
      </c>
    </row>
    <row r="90" spans="1:3" x14ac:dyDescent="0.25">
      <c r="A90" t="s">
        <v>922</v>
      </c>
      <c r="B90" t="s">
        <v>1209</v>
      </c>
      <c r="C90" t="s">
        <v>1599</v>
      </c>
    </row>
    <row r="91" spans="1:3" x14ac:dyDescent="0.25">
      <c r="A91" t="s">
        <v>923</v>
      </c>
      <c r="B91" t="s">
        <v>1210</v>
      </c>
      <c r="C91" t="s">
        <v>1600</v>
      </c>
    </row>
    <row r="92" spans="1:3" x14ac:dyDescent="0.25">
      <c r="A92" t="s">
        <v>1021</v>
      </c>
      <c r="B92" t="s">
        <v>1211</v>
      </c>
      <c r="C92" t="s">
        <v>1601</v>
      </c>
    </row>
    <row r="93" spans="1:3" x14ac:dyDescent="0.25">
      <c r="A93" t="s">
        <v>1022</v>
      </c>
      <c r="B93" t="s">
        <v>1212</v>
      </c>
      <c r="C93" t="s">
        <v>1602</v>
      </c>
    </row>
    <row r="94" spans="1:3" x14ac:dyDescent="0.25">
      <c r="A94" t="s">
        <v>924</v>
      </c>
      <c r="B94" t="s">
        <v>1213</v>
      </c>
      <c r="C94" t="s">
        <v>1603</v>
      </c>
    </row>
    <row r="95" spans="1:3" x14ac:dyDescent="0.25">
      <c r="A95" t="s">
        <v>925</v>
      </c>
      <c r="B95" t="s">
        <v>1214</v>
      </c>
      <c r="C95" t="s">
        <v>1604</v>
      </c>
    </row>
    <row r="96" spans="1:3" x14ac:dyDescent="0.25">
      <c r="A96" t="s">
        <v>926</v>
      </c>
      <c r="B96" t="s">
        <v>1215</v>
      </c>
      <c r="C96" t="s">
        <v>1605</v>
      </c>
    </row>
    <row r="97" spans="1:3" x14ac:dyDescent="0.25">
      <c r="A97" t="s">
        <v>927</v>
      </c>
      <c r="B97" t="s">
        <v>1216</v>
      </c>
      <c r="C97" t="s">
        <v>1606</v>
      </c>
    </row>
    <row r="98" spans="1:3" x14ac:dyDescent="0.25">
      <c r="A98" t="s">
        <v>928</v>
      </c>
      <c r="B98" t="s">
        <v>1217</v>
      </c>
      <c r="C98" t="s">
        <v>1607</v>
      </c>
    </row>
    <row r="99" spans="1:3" x14ac:dyDescent="0.25">
      <c r="A99" t="s">
        <v>929</v>
      </c>
      <c r="B99" t="s">
        <v>1218</v>
      </c>
      <c r="C99" t="s">
        <v>1608</v>
      </c>
    </row>
    <row r="100" spans="1:3" x14ac:dyDescent="0.25">
      <c r="A100" t="s">
        <v>930</v>
      </c>
      <c r="B100" t="s">
        <v>1219</v>
      </c>
      <c r="C100" t="s">
        <v>1609</v>
      </c>
    </row>
    <row r="101" spans="1:3" x14ac:dyDescent="0.25">
      <c r="A101" t="s">
        <v>931</v>
      </c>
      <c r="B101" t="s">
        <v>1220</v>
      </c>
      <c r="C101" t="s">
        <v>1610</v>
      </c>
    </row>
    <row r="102" spans="1:3" x14ac:dyDescent="0.25">
      <c r="A102" t="s">
        <v>932</v>
      </c>
      <c r="B102" t="s">
        <v>1221</v>
      </c>
      <c r="C102" t="s">
        <v>1611</v>
      </c>
    </row>
    <row r="103" spans="1:3" x14ac:dyDescent="0.25">
      <c r="A103" t="s">
        <v>933</v>
      </c>
      <c r="B103" t="s">
        <v>1222</v>
      </c>
      <c r="C103" t="s">
        <v>1612</v>
      </c>
    </row>
    <row r="104" spans="1:3" x14ac:dyDescent="0.25">
      <c r="A104" t="s">
        <v>934</v>
      </c>
      <c r="B104" t="s">
        <v>1223</v>
      </c>
      <c r="C104" t="s">
        <v>1613</v>
      </c>
    </row>
    <row r="105" spans="1:3" x14ac:dyDescent="0.25">
      <c r="A105" t="s">
        <v>935</v>
      </c>
      <c r="B105" t="s">
        <v>1224</v>
      </c>
      <c r="C105" t="s">
        <v>1614</v>
      </c>
    </row>
    <row r="106" spans="1:3" x14ac:dyDescent="0.25">
      <c r="A106" t="s">
        <v>1023</v>
      </c>
      <c r="B106" t="s">
        <v>1225</v>
      </c>
      <c r="C106" t="s">
        <v>1615</v>
      </c>
    </row>
    <row r="107" spans="1:3" x14ac:dyDescent="0.25">
      <c r="A107" t="s">
        <v>1024</v>
      </c>
      <c r="B107" t="s">
        <v>1226</v>
      </c>
      <c r="C107" t="s">
        <v>1616</v>
      </c>
    </row>
    <row r="108" spans="1:3" x14ac:dyDescent="0.25">
      <c r="A108" t="s">
        <v>936</v>
      </c>
      <c r="B108" t="s">
        <v>1227</v>
      </c>
      <c r="C108" t="s">
        <v>1617</v>
      </c>
    </row>
    <row r="109" spans="1:3" x14ac:dyDescent="0.25">
      <c r="A109" t="s">
        <v>937</v>
      </c>
      <c r="B109" t="s">
        <v>1228</v>
      </c>
      <c r="C109" t="s">
        <v>1618</v>
      </c>
    </row>
    <row r="110" spans="1:3" x14ac:dyDescent="0.25">
      <c r="A110" t="s">
        <v>938</v>
      </c>
      <c r="B110" t="s">
        <v>1229</v>
      </c>
      <c r="C110" t="s">
        <v>1619</v>
      </c>
    </row>
    <row r="111" spans="1:3" x14ac:dyDescent="0.25">
      <c r="A111" t="s">
        <v>939</v>
      </c>
      <c r="B111" t="s">
        <v>1230</v>
      </c>
      <c r="C111" t="s">
        <v>1620</v>
      </c>
    </row>
    <row r="112" spans="1:3" x14ac:dyDescent="0.25">
      <c r="A112" t="s">
        <v>940</v>
      </c>
      <c r="B112" t="s">
        <v>1231</v>
      </c>
      <c r="C112" t="s">
        <v>1621</v>
      </c>
    </row>
    <row r="113" spans="1:3" x14ac:dyDescent="0.25">
      <c r="A113" t="s">
        <v>941</v>
      </c>
      <c r="B113" t="s">
        <v>1232</v>
      </c>
      <c r="C113" t="s">
        <v>1622</v>
      </c>
    </row>
    <row r="114" spans="1:3" x14ac:dyDescent="0.25">
      <c r="A114" t="s">
        <v>942</v>
      </c>
      <c r="B114" t="s">
        <v>1233</v>
      </c>
      <c r="C114" t="s">
        <v>1623</v>
      </c>
    </row>
    <row r="115" spans="1:3" x14ac:dyDescent="0.25">
      <c r="A115" t="s">
        <v>943</v>
      </c>
      <c r="B115" t="s">
        <v>1234</v>
      </c>
      <c r="C115" t="s">
        <v>1624</v>
      </c>
    </row>
    <row r="116" spans="1:3" x14ac:dyDescent="0.25">
      <c r="A116" t="s">
        <v>943</v>
      </c>
      <c r="B116" t="s">
        <v>1235</v>
      </c>
      <c r="C116" t="s">
        <v>1625</v>
      </c>
    </row>
    <row r="117" spans="1:3" x14ac:dyDescent="0.25">
      <c r="A117" t="s">
        <v>944</v>
      </c>
      <c r="B117" t="s">
        <v>1236</v>
      </c>
      <c r="C117" t="s">
        <v>1626</v>
      </c>
    </row>
    <row r="118" spans="1:3" x14ac:dyDescent="0.25">
      <c r="A118" t="s">
        <v>944</v>
      </c>
      <c r="B118" t="s">
        <v>1237</v>
      </c>
      <c r="C118" t="s">
        <v>1627</v>
      </c>
    </row>
    <row r="119" spans="1:3" x14ac:dyDescent="0.25">
      <c r="A119" t="s">
        <v>1025</v>
      </c>
      <c r="B119" t="s">
        <v>1238</v>
      </c>
      <c r="C119" t="s">
        <v>1628</v>
      </c>
    </row>
    <row r="120" spans="1:3" x14ac:dyDescent="0.25">
      <c r="A120" t="s">
        <v>1025</v>
      </c>
      <c r="B120" t="s">
        <v>1239</v>
      </c>
      <c r="C120" t="s">
        <v>1629</v>
      </c>
    </row>
    <row r="121" spans="1:3" x14ac:dyDescent="0.25">
      <c r="A121" t="s">
        <v>1026</v>
      </c>
      <c r="B121" t="s">
        <v>1240</v>
      </c>
      <c r="C121" t="s">
        <v>1630</v>
      </c>
    </row>
    <row r="122" spans="1:3" x14ac:dyDescent="0.25">
      <c r="A122" t="s">
        <v>1026</v>
      </c>
      <c r="B122" t="s">
        <v>1241</v>
      </c>
      <c r="C122" t="s">
        <v>1631</v>
      </c>
    </row>
    <row r="123" spans="1:3" x14ac:dyDescent="0.25">
      <c r="A123" t="s">
        <v>1027</v>
      </c>
      <c r="B123" t="s">
        <v>1242</v>
      </c>
      <c r="C123" t="s">
        <v>1632</v>
      </c>
    </row>
    <row r="124" spans="1:3" x14ac:dyDescent="0.25">
      <c r="A124" t="s">
        <v>1027</v>
      </c>
      <c r="B124" t="s">
        <v>1243</v>
      </c>
      <c r="C124" t="s">
        <v>1633</v>
      </c>
    </row>
    <row r="125" spans="1:3" x14ac:dyDescent="0.25">
      <c r="A125" t="s">
        <v>945</v>
      </c>
      <c r="B125" t="s">
        <v>1244</v>
      </c>
      <c r="C125" t="s">
        <v>1634</v>
      </c>
    </row>
    <row r="126" spans="1:3" x14ac:dyDescent="0.25">
      <c r="A126" t="s">
        <v>946</v>
      </c>
      <c r="B126" t="s">
        <v>1245</v>
      </c>
      <c r="C126" t="s">
        <v>1635</v>
      </c>
    </row>
    <row r="127" spans="1:3" x14ac:dyDescent="0.25">
      <c r="A127" t="s">
        <v>947</v>
      </c>
      <c r="B127" t="s">
        <v>1246</v>
      </c>
      <c r="C127" t="s">
        <v>1636</v>
      </c>
    </row>
    <row r="128" spans="1:3" x14ac:dyDescent="0.25">
      <c r="A128" t="s">
        <v>948</v>
      </c>
      <c r="B128" t="s">
        <v>1247</v>
      </c>
      <c r="C128" t="s">
        <v>1637</v>
      </c>
    </row>
    <row r="129" spans="1:3" x14ac:dyDescent="0.25">
      <c r="A129" t="s">
        <v>949</v>
      </c>
      <c r="B129" t="s">
        <v>1248</v>
      </c>
      <c r="C129" t="s">
        <v>1638</v>
      </c>
    </row>
    <row r="130" spans="1:3" x14ac:dyDescent="0.25">
      <c r="A130" t="s">
        <v>950</v>
      </c>
      <c r="B130" t="s">
        <v>1249</v>
      </c>
      <c r="C130" t="s">
        <v>1639</v>
      </c>
    </row>
    <row r="131" spans="1:3" x14ac:dyDescent="0.25">
      <c r="A131" t="s">
        <v>951</v>
      </c>
      <c r="B131" t="s">
        <v>1250</v>
      </c>
      <c r="C131" t="s">
        <v>1640</v>
      </c>
    </row>
    <row r="132" spans="1:3" x14ac:dyDescent="0.25">
      <c r="A132" t="s">
        <v>952</v>
      </c>
      <c r="B132" t="s">
        <v>1251</v>
      </c>
      <c r="C132" t="s">
        <v>1641</v>
      </c>
    </row>
    <row r="133" spans="1:3" x14ac:dyDescent="0.25">
      <c r="A133" t="s">
        <v>1028</v>
      </c>
      <c r="B133" t="s">
        <v>1252</v>
      </c>
      <c r="C133" t="s">
        <v>1642</v>
      </c>
    </row>
    <row r="134" spans="1:3" x14ac:dyDescent="0.25">
      <c r="A134" t="s">
        <v>1029</v>
      </c>
      <c r="B134" t="s">
        <v>1253</v>
      </c>
      <c r="C134" t="s">
        <v>1643</v>
      </c>
    </row>
    <row r="135" spans="1:3" x14ac:dyDescent="0.25">
      <c r="A135" t="s">
        <v>1030</v>
      </c>
      <c r="B135" t="s">
        <v>1254</v>
      </c>
      <c r="C135" t="s">
        <v>1644</v>
      </c>
    </row>
    <row r="136" spans="1:3" x14ac:dyDescent="0.25">
      <c r="A136" t="s">
        <v>1031</v>
      </c>
      <c r="B136" t="s">
        <v>1255</v>
      </c>
      <c r="C136" t="s">
        <v>1645</v>
      </c>
    </row>
    <row r="137" spans="1:3" x14ac:dyDescent="0.25">
      <c r="A137" t="s">
        <v>953</v>
      </c>
      <c r="B137" t="s">
        <v>1256</v>
      </c>
      <c r="C137" t="s">
        <v>1646</v>
      </c>
    </row>
    <row r="138" spans="1:3" x14ac:dyDescent="0.25">
      <c r="A138" t="s">
        <v>954</v>
      </c>
      <c r="B138" t="s">
        <v>1257</v>
      </c>
      <c r="C138" t="s">
        <v>1647</v>
      </c>
    </row>
    <row r="139" spans="1:3" x14ac:dyDescent="0.25">
      <c r="A139" t="s">
        <v>955</v>
      </c>
      <c r="B139" t="s">
        <v>1258</v>
      </c>
      <c r="C139" t="s">
        <v>1648</v>
      </c>
    </row>
    <row r="140" spans="1:3" x14ac:dyDescent="0.25">
      <c r="A140" t="s">
        <v>956</v>
      </c>
      <c r="B140" t="s">
        <v>1259</v>
      </c>
      <c r="C140" t="s">
        <v>1649</v>
      </c>
    </row>
    <row r="141" spans="1:3" x14ac:dyDescent="0.25">
      <c r="A141" t="s">
        <v>957</v>
      </c>
      <c r="B141" t="s">
        <v>1260</v>
      </c>
      <c r="C141" t="s">
        <v>1650</v>
      </c>
    </row>
    <row r="142" spans="1:3" x14ac:dyDescent="0.25">
      <c r="A142" t="s">
        <v>958</v>
      </c>
      <c r="B142" t="s">
        <v>1261</v>
      </c>
      <c r="C142" t="s">
        <v>1651</v>
      </c>
    </row>
    <row r="143" spans="1:3" x14ac:dyDescent="0.25">
      <c r="A143" t="s">
        <v>959</v>
      </c>
      <c r="B143" t="s">
        <v>1262</v>
      </c>
      <c r="C143" t="s">
        <v>1652</v>
      </c>
    </row>
    <row r="144" spans="1:3" x14ac:dyDescent="0.25">
      <c r="A144" t="s">
        <v>960</v>
      </c>
      <c r="B144" t="s">
        <v>1263</v>
      </c>
      <c r="C144" t="s">
        <v>1653</v>
      </c>
    </row>
    <row r="145" spans="1:3" x14ac:dyDescent="0.25">
      <c r="A145" t="s">
        <v>961</v>
      </c>
      <c r="B145" t="s">
        <v>1264</v>
      </c>
      <c r="C145" t="s">
        <v>1654</v>
      </c>
    </row>
    <row r="146" spans="1:3" x14ac:dyDescent="0.25">
      <c r="A146" t="s">
        <v>1032</v>
      </c>
      <c r="B146" t="s">
        <v>1265</v>
      </c>
      <c r="C146" t="s">
        <v>1655</v>
      </c>
    </row>
    <row r="147" spans="1:3" x14ac:dyDescent="0.25">
      <c r="A147" t="s">
        <v>1033</v>
      </c>
      <c r="B147" t="s">
        <v>1266</v>
      </c>
      <c r="C147" t="s">
        <v>1656</v>
      </c>
    </row>
    <row r="148" spans="1:3" x14ac:dyDescent="0.25">
      <c r="A148" t="s">
        <v>962</v>
      </c>
      <c r="B148" t="s">
        <v>1267</v>
      </c>
      <c r="C148" t="s">
        <v>1657</v>
      </c>
    </row>
    <row r="149" spans="1:3" x14ac:dyDescent="0.25">
      <c r="A149" t="s">
        <v>963</v>
      </c>
      <c r="B149" t="s">
        <v>1268</v>
      </c>
      <c r="C149" t="s">
        <v>1658</v>
      </c>
    </row>
    <row r="150" spans="1:3" x14ac:dyDescent="0.25">
      <c r="A150" t="s">
        <v>964</v>
      </c>
      <c r="B150" t="s">
        <v>1269</v>
      </c>
      <c r="C150" t="s">
        <v>1659</v>
      </c>
    </row>
    <row r="151" spans="1:3" x14ac:dyDescent="0.25">
      <c r="A151" t="s">
        <v>965</v>
      </c>
      <c r="B151" t="s">
        <v>1270</v>
      </c>
      <c r="C151" t="s">
        <v>1660</v>
      </c>
    </row>
    <row r="152" spans="1:3" x14ac:dyDescent="0.25">
      <c r="A152" t="s">
        <v>966</v>
      </c>
      <c r="B152" t="s">
        <v>1271</v>
      </c>
      <c r="C152" t="s">
        <v>1661</v>
      </c>
    </row>
    <row r="153" spans="1:3" x14ac:dyDescent="0.25">
      <c r="A153" t="s">
        <v>967</v>
      </c>
      <c r="B153" t="s">
        <v>1272</v>
      </c>
      <c r="C153" t="s">
        <v>1662</v>
      </c>
    </row>
    <row r="154" spans="1:3" x14ac:dyDescent="0.25">
      <c r="A154" t="s">
        <v>968</v>
      </c>
      <c r="B154" t="s">
        <v>1273</v>
      </c>
      <c r="C154" t="s">
        <v>1663</v>
      </c>
    </row>
    <row r="155" spans="1:3" x14ac:dyDescent="0.25">
      <c r="A155" t="s">
        <v>969</v>
      </c>
      <c r="B155" t="s">
        <v>1274</v>
      </c>
      <c r="C155" t="s">
        <v>1664</v>
      </c>
    </row>
    <row r="156" spans="1:3" x14ac:dyDescent="0.25">
      <c r="A156" t="s">
        <v>970</v>
      </c>
      <c r="B156" t="s">
        <v>1275</v>
      </c>
      <c r="C156" t="s">
        <v>1665</v>
      </c>
    </row>
    <row r="157" spans="1:3" x14ac:dyDescent="0.25">
      <c r="A157" t="s">
        <v>971</v>
      </c>
      <c r="B157" t="s">
        <v>1276</v>
      </c>
      <c r="C157" t="s">
        <v>1666</v>
      </c>
    </row>
    <row r="158" spans="1:3" x14ac:dyDescent="0.25">
      <c r="A158" t="s">
        <v>972</v>
      </c>
      <c r="B158" t="s">
        <v>1117</v>
      </c>
      <c r="C158" t="s">
        <v>1667</v>
      </c>
    </row>
    <row r="159" spans="1:3" x14ac:dyDescent="0.25">
      <c r="A159" t="s">
        <v>973</v>
      </c>
      <c r="B159" t="s">
        <v>1118</v>
      </c>
      <c r="C159" t="s">
        <v>1668</v>
      </c>
    </row>
    <row r="160" spans="1:3" x14ac:dyDescent="0.25">
      <c r="A160" t="s">
        <v>974</v>
      </c>
      <c r="B160" t="s">
        <v>1119</v>
      </c>
      <c r="C160" t="s">
        <v>1669</v>
      </c>
    </row>
    <row r="161" spans="1:3" x14ac:dyDescent="0.25">
      <c r="A161" t="s">
        <v>975</v>
      </c>
      <c r="B161" t="s">
        <v>1120</v>
      </c>
      <c r="C161" t="s">
        <v>1670</v>
      </c>
    </row>
    <row r="162" spans="1:3" x14ac:dyDescent="0.25">
      <c r="A162" t="s">
        <v>976</v>
      </c>
      <c r="B162" t="s">
        <v>1277</v>
      </c>
      <c r="C162" t="s">
        <v>1671</v>
      </c>
    </row>
    <row r="163" spans="1:3" x14ac:dyDescent="0.25">
      <c r="A163" t="s">
        <v>977</v>
      </c>
      <c r="B163" t="s">
        <v>1278</v>
      </c>
      <c r="C163" t="s">
        <v>1672</v>
      </c>
    </row>
    <row r="164" spans="1:3" x14ac:dyDescent="0.25">
      <c r="A164" t="s">
        <v>978</v>
      </c>
      <c r="B164" t="s">
        <v>1279</v>
      </c>
      <c r="C164" t="s">
        <v>1673</v>
      </c>
    </row>
    <row r="165" spans="1:3" x14ac:dyDescent="0.25">
      <c r="A165" t="s">
        <v>979</v>
      </c>
      <c r="B165" t="s">
        <v>1280</v>
      </c>
      <c r="C165" t="s">
        <v>1674</v>
      </c>
    </row>
    <row r="166" spans="1:3" x14ac:dyDescent="0.25">
      <c r="A166" t="s">
        <v>980</v>
      </c>
      <c r="B166" t="s">
        <v>1281</v>
      </c>
      <c r="C166" t="s">
        <v>1675</v>
      </c>
    </row>
    <row r="167" spans="1:3" x14ac:dyDescent="0.25">
      <c r="A167" t="s">
        <v>981</v>
      </c>
      <c r="B167" t="s">
        <v>1282</v>
      </c>
      <c r="C167" t="s">
        <v>1676</v>
      </c>
    </row>
    <row r="168" spans="1:3" x14ac:dyDescent="0.25">
      <c r="A168" t="s">
        <v>982</v>
      </c>
      <c r="B168" t="s">
        <v>1283</v>
      </c>
      <c r="C168" t="s">
        <v>1677</v>
      </c>
    </row>
    <row r="169" spans="1:3" x14ac:dyDescent="0.25">
      <c r="A169" t="s">
        <v>983</v>
      </c>
      <c r="B169" t="s">
        <v>1284</v>
      </c>
      <c r="C169" t="s">
        <v>1678</v>
      </c>
    </row>
    <row r="170" spans="1:3" x14ac:dyDescent="0.25">
      <c r="A170" t="s">
        <v>984</v>
      </c>
      <c r="B170" t="s">
        <v>1285</v>
      </c>
      <c r="C170" t="s">
        <v>1679</v>
      </c>
    </row>
    <row r="171" spans="1:3" x14ac:dyDescent="0.25">
      <c r="A171" t="s">
        <v>985</v>
      </c>
      <c r="B171" t="s">
        <v>1286</v>
      </c>
      <c r="C171" t="s">
        <v>1680</v>
      </c>
    </row>
    <row r="172" spans="1:3" x14ac:dyDescent="0.25">
      <c r="A172" t="s">
        <v>986</v>
      </c>
      <c r="B172" t="s">
        <v>1287</v>
      </c>
      <c r="C172" t="s">
        <v>1681</v>
      </c>
    </row>
    <row r="173" spans="1:3" x14ac:dyDescent="0.25">
      <c r="A173" t="s">
        <v>987</v>
      </c>
      <c r="B173" t="s">
        <v>1288</v>
      </c>
      <c r="C173" t="s">
        <v>1682</v>
      </c>
    </row>
    <row r="174" spans="1:3" x14ac:dyDescent="0.25">
      <c r="A174" t="s">
        <v>988</v>
      </c>
      <c r="B174" t="s">
        <v>1289</v>
      </c>
      <c r="C174" t="s">
        <v>1683</v>
      </c>
    </row>
    <row r="175" spans="1:3" x14ac:dyDescent="0.25">
      <c r="A175" t="s">
        <v>989</v>
      </c>
      <c r="B175" t="s">
        <v>1290</v>
      </c>
      <c r="C175" t="s">
        <v>1684</v>
      </c>
    </row>
    <row r="176" spans="1:3" x14ac:dyDescent="0.25">
      <c r="A176" t="s">
        <v>990</v>
      </c>
      <c r="B176" t="s">
        <v>1291</v>
      </c>
      <c r="C176" t="s">
        <v>1685</v>
      </c>
    </row>
    <row r="177" spans="1:3" x14ac:dyDescent="0.25">
      <c r="A177" t="s">
        <v>991</v>
      </c>
      <c r="B177" t="s">
        <v>1292</v>
      </c>
      <c r="C177" t="s">
        <v>1686</v>
      </c>
    </row>
    <row r="178" spans="1:3" x14ac:dyDescent="0.25">
      <c r="A178" t="s">
        <v>992</v>
      </c>
      <c r="B178" t="s">
        <v>1293</v>
      </c>
      <c r="C178" t="s">
        <v>1687</v>
      </c>
    </row>
    <row r="179" spans="1:3" x14ac:dyDescent="0.25">
      <c r="A179" t="s">
        <v>993</v>
      </c>
      <c r="B179" t="s">
        <v>1294</v>
      </c>
      <c r="C179" t="s">
        <v>1688</v>
      </c>
    </row>
    <row r="180" spans="1:3" x14ac:dyDescent="0.25">
      <c r="A180" t="s">
        <v>994</v>
      </c>
      <c r="B180" t="s">
        <v>1295</v>
      </c>
      <c r="C180" t="s">
        <v>1689</v>
      </c>
    </row>
    <row r="181" spans="1:3" x14ac:dyDescent="0.25">
      <c r="A181" t="s">
        <v>995</v>
      </c>
      <c r="B181" t="s">
        <v>1296</v>
      </c>
      <c r="C181" t="s">
        <v>1690</v>
      </c>
    </row>
    <row r="182" spans="1:3" x14ac:dyDescent="0.25">
      <c r="A182" t="s">
        <v>996</v>
      </c>
      <c r="B182" t="s">
        <v>1297</v>
      </c>
      <c r="C182" t="s">
        <v>1691</v>
      </c>
    </row>
    <row r="183" spans="1:3" x14ac:dyDescent="0.25">
      <c r="A183" t="s">
        <v>997</v>
      </c>
      <c r="B183" t="s">
        <v>1298</v>
      </c>
      <c r="C183" t="s">
        <v>1692</v>
      </c>
    </row>
    <row r="184" spans="1:3" x14ac:dyDescent="0.25">
      <c r="A184" t="s">
        <v>998</v>
      </c>
      <c r="B184" t="s">
        <v>1299</v>
      </c>
      <c r="C184" t="s">
        <v>1693</v>
      </c>
    </row>
    <row r="185" spans="1:3" x14ac:dyDescent="0.25">
      <c r="A185" t="s">
        <v>999</v>
      </c>
      <c r="B185" t="s">
        <v>1300</v>
      </c>
      <c r="C185" t="s">
        <v>1694</v>
      </c>
    </row>
    <row r="186" spans="1:3" x14ac:dyDescent="0.25">
      <c r="A186" t="s">
        <v>1000</v>
      </c>
      <c r="B186" t="s">
        <v>1301</v>
      </c>
      <c r="C186" t="s">
        <v>1695</v>
      </c>
    </row>
    <row r="187" spans="1:3" x14ac:dyDescent="0.25">
      <c r="A187" t="s">
        <v>1001</v>
      </c>
      <c r="B187" t="s">
        <v>1302</v>
      </c>
      <c r="C187" t="s">
        <v>1696</v>
      </c>
    </row>
    <row r="188" spans="1:3" x14ac:dyDescent="0.25">
      <c r="A188" t="s">
        <v>1002</v>
      </c>
      <c r="B188" t="s">
        <v>1303</v>
      </c>
      <c r="C188" t="s">
        <v>1697</v>
      </c>
    </row>
    <row r="189" spans="1:3" x14ac:dyDescent="0.25">
      <c r="A189" t="s">
        <v>1003</v>
      </c>
      <c r="B189" t="s">
        <v>1304</v>
      </c>
      <c r="C189" t="s">
        <v>1698</v>
      </c>
    </row>
    <row r="190" spans="1:3" x14ac:dyDescent="0.25">
      <c r="A190" t="s">
        <v>1004</v>
      </c>
      <c r="B190" t="s">
        <v>1305</v>
      </c>
      <c r="C190" t="s">
        <v>1699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Combined</vt:lpstr>
      <vt:lpstr>All</vt:lpstr>
      <vt:lpstr>TVDB</vt:lpstr>
      <vt:lpstr>TVMaze unedited</vt:lpstr>
      <vt:lpstr>TVMaze</vt:lpstr>
      <vt:lpstr>TVMaze python scrape</vt:lpstr>
      <vt:lpstr>Files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Ziga</dc:creator>
  <cp:lastModifiedBy>Ziga</cp:lastModifiedBy>
  <dcterms:created xsi:type="dcterms:W3CDTF">2018-10-02T08:50:57Z</dcterms:created>
  <dcterms:modified xsi:type="dcterms:W3CDTF">2018-10-02T17:27:26Z</dcterms:modified>
</cp:coreProperties>
</file>